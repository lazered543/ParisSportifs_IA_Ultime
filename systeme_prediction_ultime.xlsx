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cc05d35a77477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562a1f3953d4468"/>
    <x:sheet xmlns:r="http://schemas.openxmlformats.org/officeDocument/2006/relationships" name="Matchs_A_Venir" sheetId="2" r:id="Rf342141b43ff4679"/>
    <x:sheet xmlns:r="http://schemas.openxmlformats.org/officeDocument/2006/relationships" name="Predictions" sheetId="3" r:id="R1bfd962e95de4941"/>
    <x:sheet xmlns:r="http://schemas.openxmlformats.org/officeDocument/2006/relationships" name="Value_Bets" sheetId="4" r:id="Rac63c854ea09442d"/>
    <x:sheet xmlns:r="http://schemas.openxmlformats.org/officeDocument/2006/relationships" name="Bankroll" sheetId="5" r:id="R75b1071e3ca74a50"/>
    <x:sheet xmlns:r="http://schemas.openxmlformats.org/officeDocument/2006/relationships" name="Historique_ROI" sheetId="6" r:id="R12eb9b3006954fd2"/>
    <x:sheet xmlns:r="http://schemas.openxmlformats.org/officeDocument/2006/relationships" name="Parametres" sheetId="7" r:id="R4c6c8fa6c80d47bd"/>
    <x:sheet xmlns:r="http://schemas.openxmlformats.org/officeDocument/2006/relationships" name="API_Setup" sheetId="8" r:id="R638b35710f404943"/>
    <x:sheet xmlns:r="http://schemas.openxmlformats.org/officeDocument/2006/relationships" name="Journal" sheetId="9" r:id="R9dad3e1abaf745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%"/>
    <x:numFmt numFmtId="201" formatCode="0.00 €"/>
    <x:numFmt numFmtId="202" formatCode="0.00"/>
  </x:numFmts>
  <x:fonts count="3">
    <x:font>
      <x:sz val="11"/>
      <x:name val="Carlito"/>
    </x:font>
    <x:font>
      <x:b/>
      <x:sz val="16"/>
      <x:color rgb="FFFFFF"/>
      <x:name val="Carlito"/>
    </x:font>
    <x:font>
      <x:b/>
      <x:sz val="11"/>
      <x:color rgb="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0F172A"/>
      </x:patternFill>
    </x:fill>
    <x:fill>
      <x:patternFill patternType="solid">
        <x:fgColor rgb="111827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166534"/>
      </x:font>
      <x:fill>
        <x:patternFill patternType="solid">
          <x:bgColor rgb="DCFCE7"/>
        </x:patternFill>
      </x:fill>
    </x:dxf>
    <x:dxf>
      <x:font>
        <x:color rgb="6B7280"/>
      </x:font>
      <x:fill>
        <x:patternFill patternType="solid">
          <x:bgColor rgb="F3F4F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618ddb5dbe540ec" /><Relationship Type="http://schemas.openxmlformats.org/officeDocument/2006/relationships/theme" Target="/xl/theme/theme1.xml" Id="Re95642b1160047ea" /><Relationship Type="http://schemas.openxmlformats.org/officeDocument/2006/relationships/sharedStrings" Target="/xl/sharedStrings.xml" Id="Rcc83e89937204a8f" /><Relationship Type="http://schemas.openxmlformats.org/officeDocument/2006/relationships/worksheet" Target="/xl/worksheets/sheet1.xml" Id="Ra562a1f3953d4468" /><Relationship Type="http://schemas.openxmlformats.org/officeDocument/2006/relationships/worksheet" Target="/xl/worksheets/sheet2.xml" Id="Rf342141b43ff4679" /><Relationship Type="http://schemas.openxmlformats.org/officeDocument/2006/relationships/worksheet" Target="/xl/worksheets/sheet3.xml" Id="R1bfd962e95de4941" /><Relationship Type="http://schemas.openxmlformats.org/officeDocument/2006/relationships/worksheet" Target="/xl/worksheets/sheet4.xml" Id="Rac63c854ea09442d" /><Relationship Type="http://schemas.openxmlformats.org/officeDocument/2006/relationships/worksheet" Target="/xl/worksheets/sheet5.xml" Id="R75b1071e3ca74a50" /><Relationship Type="http://schemas.openxmlformats.org/officeDocument/2006/relationships/worksheet" Target="/xl/worksheets/sheet6.xml" Id="R12eb9b3006954fd2" /><Relationship Type="http://schemas.openxmlformats.org/officeDocument/2006/relationships/worksheet" Target="/xl/worksheets/sheet7.xml" Id="R4c6c8fa6c80d47bd" /><Relationship Type="http://schemas.openxmlformats.org/officeDocument/2006/relationships/worksheet" Target="/xl/worksheets/sheet8.xml" Id="R638b35710f404943" /><Relationship Type="http://schemas.openxmlformats.org/officeDocument/2006/relationships/worksheet" Target="/xl/worksheets/sheet9.xml" Id="R9dad3e1abaf745fb" /></Relationships>
</file>

<file path=xl/tables/table1.xml><?xml version="1.0" encoding="utf-8"?>
<x:table xmlns:x="http://schemas.openxmlformats.org/spreadsheetml/2006/main" id="1" name="TableMatchsAVenir" displayName="TableMatchsAVenir" ref="A1:J100" headerRowCount="1">
  <x:tableColumns count="10">
    <x:tableColumn id="1" name="sport"/>
    <x:tableColumn id="2" name="commence_time"/>
    <x:tableColumn id="3" name="home_team"/>
    <x:tableColumn id="4" name="away_team"/>
    <x:tableColumn id="5" name="odds_home"/>
    <x:tableColumn id="6" name="odds_draw"/>
    <x:tableColumn id="7" name="odds_away"/>
    <x:tableColumn id="8" name="source"/>
    <x:tableColumn id="9" name="status"/>
    <x:tableColumn id="10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ablePredictions" displayName="TablePredictions" ref="A1:O200" headerRowCount="1">
  <x:tableColumns count="15">
    <x:tableColumn id="1" name="date"/>
    <x:tableColumn id="2" name="sport"/>
    <x:tableColumn id="3" name="home_team"/>
    <x:tableColumn id="4" name="away_team"/>
    <x:tableColumn id="5" name="market"/>
    <x:tableColumn id="6" name="ai_probability"/>
    <x:tableColumn id="7" name="bookmaker_odds"/>
    <x:tableColumn id="8" name="implied_probability"/>
    <x:tableColumn id="9" name="value"/>
    <x:tableColumn id="10" name="confidence"/>
    <x:tableColumn id="11" name="suggested_stake"/>
    <x:tableColumn id="12" name="home_xg"/>
    <x:tableColumn id="13" name="away_xg"/>
    <x:tableColumn id="14" name="top_scores"/>
    <x:tableColumn id="15" name="decision"/>
  </x:tableColumns>
  <x:tableStyleInfo name="TableStyleMedium2" showRowStripes="1"/>
</x:table>
</file>

<file path=xl/tables/table3.xml><?xml version="1.0" encoding="utf-8"?>
<x:table xmlns:x="http://schemas.openxmlformats.org/spreadsheetml/2006/main" id="3" name="TableValueBets" displayName="TableValueBets" ref="A1:O200" headerRowCount="1">
  <x:tableColumns count="15">
    <x:tableColumn id="1" name="date"/>
    <x:tableColumn id="2" name="sport"/>
    <x:tableColumn id="3" name="home_team"/>
    <x:tableColumn id="4" name="away_team"/>
    <x:tableColumn id="5" name="market"/>
    <x:tableColumn id="6" name="ai_probability"/>
    <x:tableColumn id="7" name="bookmaker_odds"/>
    <x:tableColumn id="8" name="implied_probability"/>
    <x:tableColumn id="9" name="value"/>
    <x:tableColumn id="10" name="confidence"/>
    <x:tableColumn id="11" name="suggested_stake"/>
    <x:tableColumn id="12" name="home_xg"/>
    <x:tableColumn id="13" name="away_xg"/>
    <x:tableColumn id="14" name="top_scores"/>
    <x:tableColumn id="15" name="decision"/>
  </x:tableColumns>
  <x:tableStyleInfo name="TableStyleMedium2" showRowStripes="1"/>
</x:table>
</file>

<file path=xl/tables/table4.xml><?xml version="1.0" encoding="utf-8"?>
<x:table xmlns:x="http://schemas.openxmlformats.org/spreadsheetml/2006/main" id="4" name="TableHistoriqueROI" displayName="TableHistoriqueROI" ref="A1:J101" headerRowCount="1">
  <x:tableColumns count="10">
    <x:tableColumn id="1" name="date"/>
    <x:tableColumn id="2" name="sport"/>
    <x:tableColumn id="3" name="match"/>
    <x:tableColumn id="4" name="market"/>
    <x:tableColumn id="5" name="odds"/>
    <x:tableColumn id="6" name="stake"/>
    <x:tableColumn id="7" name="profit_loss"/>
    <x:tableColumn id="8" name="roi"/>
    <x:tableColumn id="9" name="bankroll_after"/>
    <x:tableColumn id="10" name="not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cd5794955fe4cc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c2b2cb531ae4eb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de71e276190460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17933dc005d4088" /></Relationships>
</file>

<file path=xl/worksheets/sheet1.xml><?xml version="1.0" encoding="utf-8"?>
<x:worksheet xmlns:x="http://schemas.openxmlformats.org/spreadsheetml/2006/main">
  <x:sheetFormatPr defaultRowHeight="15"/>
  <x:cols>
    <x:col min="1" max="1" width="48.86000061035156" hidden="0" customWidth="1"/>
    <x:col min="2" max="2" width="6.860000133514404" hidden="0" customWidth="1"/>
    <x:col min="3" max="3" width="6.190000057220459" hidden="0" customWidth="1"/>
    <x:col min="4" max="4" width="6.860000133514404" hidden="0" customWidth="1"/>
    <x:col min="5" max="5" width="3.630000114440918" hidden="0" customWidth="1"/>
    <x:col min="6" max="6" width="4.440000057220459" hidden="0" customWidth="1"/>
    <x:col min="7" max="7" width="3.9000000953674316" hidden="0" customWidth="1"/>
    <x:col min="8" max="8" width="6.860000133514404" hidden="0" customWidth="1"/>
  </x:cols>
  <x:sheetData>
    <x:row r="1">
      <x:c r="A1" s="26" t="str">
        <x:v>IA PARIS SPORTIFS ULTIME - DASHBOARD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</x:row>
    <x:row r="3">
      <x:c r="A3" s="14" t="str">
        <x:v>Indicateur</x:v>
      </x:c>
      <x:c r="B3" s="14" t="str">
        <x:v>Valeur</x:v>
      </x:c>
    </x:row>
    <x:row r="4">
      <x:c r="A4" t="str">
        <x:v>Bankroll actuelle</x:v>
      </x:c>
      <x:c r="B4" s="22" t="n">
        <x:f>Bankroll!B2</x:f>
        <x:v>100</x:v>
      </x:c>
    </x:row>
    <x:row r="5">
      <x:c r="A5" t="str">
        <x:v>Value bets aujourd'hui</x:v>
      </x:c>
      <x:c r="B5" s="20" t="n">
        <x:f>COUNTIF(Predictions!O:O,"VALUE BET")</x:f>
        <x:v>0</x:v>
      </x:c>
    </x:row>
    <x:row r="6">
      <x:c r="A6" t="str">
        <x:v>Meilleure value</x:v>
      </x:c>
      <x:c r="B6" s="20" t="n">
        <x:f>MAX(Predictions!I:I)</x:f>
        <x:v>0</x:v>
      </x:c>
    </x:row>
    <x:row r="7">
      <x:c r="A7" t="str">
        <x:v>Mise max conseillée</x:v>
      </x:c>
      <x:c r="B7" s="22" t="n">
        <x:f>MAX(Predictions!K:K)</x:f>
        <x:v>0</x:v>
      </x:c>
    </x:row>
    <x:row r="8">
      <x:c r="A8" t="str">
        <x:v>ROI global</x:v>
      </x:c>
      <x:c r="B8" s="20" t="n">
        <x:f>IFERROR(SUM(Historique_ROI!H:H)/SUM(Historique_ROI!F:F),0)</x:f>
        <x:v>0</x:v>
      </x:c>
    </x:row>
    <x:row r="9">
      <x:c r="A9" t="str">
        <x:v>Hit rate</x:v>
      </x:c>
      <x:c r="B9" s="20" t="n">
        <x:f>IFERROR(COUNTIF(Historique_ROI!G:G,"&gt;0")/COUNT(Historique_ROI!G:G),0)</x:f>
        <x:v>0</x:v>
      </x:c>
    </x:row>
    <x:row r="10">
      <x:c r="A10" t="str">
        <x:v>Drawdown actuel</x:v>
      </x:c>
      <x:c r="B10" s="20" t="n">
        <x:f>Bankroll!B6</x:f>
        <x:v>0</x:v>
      </x:c>
    </x:row>
    <x:row r="12">
      <x:c r="A12" s="14" t="str">
        <x:v>Top paris value à analyser</x:v>
      </x:c>
      <x:c r="B12" t="str"/>
      <x:c r="C12" t="str"/>
      <x:c r="D12" t="str"/>
      <x:c r="E12" t="str"/>
      <x:c r="F12" t="str"/>
      <x:c r="G12" t="str"/>
      <x:c r="H12" t="str"/>
    </x:row>
    <x:row r="13">
      <x:c r="A13" s="14" t="str">
        <x:v>Date</x:v>
      </x:c>
      <x:c r="B13" s="14" t="str">
        <x:v>Match</x:v>
      </x:c>
      <x:c r="C13" s="14" t="str">
        <x:v>Marché</x:v>
      </x:c>
      <x:c r="D13" s="14" t="str">
        <x:v>Proba IA</x:v>
      </x:c>
      <x:c r="E13" s="14" t="str">
        <x:v>Cote</x:v>
      </x:c>
      <x:c r="F13" s="14" t="str">
        <x:v>Value</x:v>
      </x:c>
      <x:c r="G13" s="14" t="str">
        <x:v>Mise</x:v>
      </x:c>
      <x:c r="H13" s="14" t="str">
        <x:v>Décision</x:v>
      </x:c>
    </x:row>
    <x:row r="14">
      <x:c r="A14" t="str">
        <x:f>IFERROR(INDEX(Value_Bets!A:A,ROW()-11),"")</x:f>
      </x:c>
      <x:c r="B14" t="str">
        <x:f>IFERROR(INDEX(Value_Bets!C:C,ROW()-11)&amp;" - "&amp;INDEX(Value_Bets!D:D,ROW()-11),"")</x:f>
      </x:c>
      <x:c r="C14" t="str">
        <x:f>IFERROR(INDEX(Value_Bets!E:E,ROW()-11),"")</x:f>
      </x:c>
      <x:c r="D14" t="str">
        <x:f>IFERROR(INDEX(Value_Bets!F:F,ROW()-11),"")</x:f>
      </x:c>
      <x:c r="E14" t="str">
        <x:f>IFERROR(INDEX(Value_Bets!G:G,ROW()-11),"")</x:f>
      </x:c>
      <x:c r="F14" t="str">
        <x:f>IFERROR(INDEX(Value_Bets!I:I,ROW()-11),"")</x:f>
      </x:c>
      <x:c r="G14" t="str">
        <x:f>IFERROR(INDEX(Value_Bets!K:K,ROW()-11),"")</x:f>
      </x:c>
      <x:c r="H14" t="str">
        <x:f>IFERROR(INDEX(Value_Bets!O:O,ROW()-11),"")</x:f>
      </x:c>
    </x:row>
    <x:row r="15">
      <x:c r="A15" t="str">
        <x:f>IFERROR(INDEX(Value_Bets!A:A,ROW()-11),"")</x:f>
      </x:c>
      <x:c r="B15" t="str">
        <x:f>IFERROR(INDEX(Value_Bets!C:C,ROW()-11)&amp;" - "&amp;INDEX(Value_Bets!D:D,ROW()-11),"")</x:f>
      </x:c>
      <x:c r="C15" t="str">
        <x:f>IFERROR(INDEX(Value_Bets!E:E,ROW()-11),"")</x:f>
      </x:c>
      <x:c r="D15" t="str">
        <x:f>IFERROR(INDEX(Value_Bets!F:F,ROW()-11),"")</x:f>
      </x:c>
      <x:c r="E15" t="str">
        <x:f>IFERROR(INDEX(Value_Bets!G:G,ROW()-11),"")</x:f>
      </x:c>
      <x:c r="F15" t="str">
        <x:f>IFERROR(INDEX(Value_Bets!I:I,ROW()-11),"")</x:f>
      </x:c>
      <x:c r="G15" t="str">
        <x:f>IFERROR(INDEX(Value_Bets!K:K,ROW()-11),"")</x:f>
      </x:c>
      <x:c r="H15" t="str">
        <x:f>IFERROR(INDEX(Value_Bets!O:O,ROW()-11),"")</x:f>
      </x:c>
    </x:row>
    <x:row r="16">
      <x:c r="A16" t="str">
        <x:f>IFERROR(INDEX(Value_Bets!A:A,ROW()-11),"")</x:f>
      </x:c>
      <x:c r="B16" t="str">
        <x:f>IFERROR(INDEX(Value_Bets!C:C,ROW()-11)&amp;" - "&amp;INDEX(Value_Bets!D:D,ROW()-11),"")</x:f>
      </x:c>
      <x:c r="C16" t="str">
        <x:f>IFERROR(INDEX(Value_Bets!E:E,ROW()-11),"")</x:f>
      </x:c>
      <x:c r="D16" t="str">
        <x:f>IFERROR(INDEX(Value_Bets!F:F,ROW()-11),"")</x:f>
      </x:c>
      <x:c r="E16" t="str">
        <x:f>IFERROR(INDEX(Value_Bets!G:G,ROW()-11),"")</x:f>
      </x:c>
      <x:c r="F16" t="str">
        <x:f>IFERROR(INDEX(Value_Bets!I:I,ROW()-11),"")</x:f>
      </x:c>
      <x:c r="G16" t="str">
        <x:f>IFERROR(INDEX(Value_Bets!K:K,ROW()-11),"")</x:f>
      </x:c>
      <x:c r="H16" t="str">
        <x:f>IFERROR(INDEX(Value_Bets!O:O,ROW()-11),"")</x:f>
      </x:c>
    </x:row>
    <x:row r="17">
      <x:c r="A17" t="str">
        <x:f>IFERROR(INDEX(Value_Bets!A:A,ROW()-11),"")</x:f>
      </x:c>
      <x:c r="B17" t="str">
        <x:f>IFERROR(INDEX(Value_Bets!C:C,ROW()-11)&amp;" - "&amp;INDEX(Value_Bets!D:D,ROW()-11),"")</x:f>
      </x:c>
      <x:c r="C17" t="str">
        <x:f>IFERROR(INDEX(Value_Bets!E:E,ROW()-11),"")</x:f>
      </x:c>
      <x:c r="D17" t="str">
        <x:f>IFERROR(INDEX(Value_Bets!F:F,ROW()-11),"")</x:f>
      </x:c>
      <x:c r="E17" t="str">
        <x:f>IFERROR(INDEX(Value_Bets!G:G,ROW()-11),"")</x:f>
      </x:c>
      <x:c r="F17" t="str">
        <x:f>IFERROR(INDEX(Value_Bets!I:I,ROW()-11),"")</x:f>
      </x:c>
      <x:c r="G17" t="str">
        <x:f>IFERROR(INDEX(Value_Bets!K:K,ROW()-11),"")</x:f>
      </x:c>
      <x:c r="H17" t="str">
        <x:f>IFERROR(INDEX(Value_Bets!O:O,ROW()-11),"")</x:f>
      </x:c>
    </x:row>
    <x:row r="18">
      <x:c r="A18" t="str">
        <x:f>IFERROR(INDEX(Value_Bets!A:A,ROW()-11),"")</x:f>
      </x:c>
      <x:c r="B18" t="str">
        <x:f>IFERROR(INDEX(Value_Bets!C:C,ROW()-11)&amp;" - "&amp;INDEX(Value_Bets!D:D,ROW()-11),"")</x:f>
      </x:c>
      <x:c r="C18" t="str">
        <x:f>IFERROR(INDEX(Value_Bets!E:E,ROW()-11),"")</x:f>
      </x:c>
      <x:c r="D18" t="str">
        <x:f>IFERROR(INDEX(Value_Bets!F:F,ROW()-11),"")</x:f>
      </x:c>
      <x:c r="E18" t="str">
        <x:f>IFERROR(INDEX(Value_Bets!G:G,ROW()-11),"")</x:f>
      </x:c>
      <x:c r="F18" t="str">
        <x:f>IFERROR(INDEX(Value_Bets!I:I,ROW()-11),"")</x:f>
      </x:c>
      <x:c r="G18" t="str">
        <x:f>IFERROR(INDEX(Value_Bets!K:K,ROW()-11),"")</x:f>
      </x:c>
      <x:c r="H18" t="str">
        <x:f>IFERROR(INDEX(Value_Bets!O:O,ROW()-11),"")</x:f>
      </x:c>
    </x:row>
  </x:sheetData>
  <x:mergeCells>
    <x:mergeCell ref="A1:H1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.630000114440918" hidden="0" customWidth="1"/>
    <x:col min="2" max="2" width="16.290000915527344" hidden="0" customWidth="1"/>
    <x:col min="3" max="3" width="12.520000457763672" hidden="0" customWidth="1"/>
    <x:col min="4" max="4" width="12.109999656677246" hidden="0" customWidth="1"/>
    <x:col min="5" max="5" width="12.25" hidden="0" customWidth="1"/>
    <x:col min="6" max="6" width="11.710000038146973" hidden="0" customWidth="1"/>
    <x:col min="7" max="7" width="11.84000015258789" hidden="0" customWidth="1"/>
    <x:col min="8" max="8" width="8.079999923706055" hidden="0" customWidth="1"/>
    <x:col min="9" max="9" width="8.079999923706055" hidden="0" customWidth="1"/>
    <x:col min="10" max="10" width="7.130000114440918" hidden="0" customWidth="1"/>
  </x:cols>
  <x:sheetData>
    <x:row r="1">
      <x:c r="A1" s="14" t="str">
        <x:v>sport</x:v>
      </x:c>
      <x:c r="B1" s="14" t="str">
        <x:v>commence_time</x:v>
      </x:c>
      <x:c r="C1" s="14" t="str">
        <x:v>home_team</x:v>
      </x:c>
      <x:c r="D1" s="14" t="str">
        <x:v>away_team</x:v>
      </x:c>
      <x:c r="E1" s="14" t="str">
        <x:v>odds_home</x:v>
      </x:c>
      <x:c r="F1" s="14" t="str">
        <x:v>odds_draw</x:v>
      </x:c>
      <x:c r="G1" s="14" t="str">
        <x:v>odds_away</x:v>
      </x:c>
      <x:c r="H1" s="14" t="str">
        <x:v>source</x:v>
      </x:c>
      <x:c r="I1" s="14" t="str">
        <x:v>status</x:v>
      </x:c>
      <x:c r="J1" s="14" t="str">
        <x:v>notes</x:v>
      </x:c>
      <x:c r="K1" s="27"/>
      <x:c r="L1" s="27"/>
      <x:c r="M1" s="27"/>
      <x:c r="N1" s="27"/>
      <x:c r="O1" s="27"/>
    </x:row>
    <x:row r="2">
      <x:c r="A2" t="str">
        <x:v>soccer_demo</x:v>
      </x:c>
      <x:c r="B2" t="str">
        <x:v>2026-05-21 20:45</x:v>
      </x:c>
      <x:c r="C2" t="str">
        <x:v>Team A</x:v>
      </x:c>
      <x:c r="D2" t="str">
        <x:v>Team B</x:v>
      </x:c>
      <x:c r="E2" t="n">
        <x:v>1.95</x:v>
      </x:c>
      <x:c r="F2" t="n">
        <x:v>3.6</x:v>
      </x:c>
      <x:c r="G2" t="n">
        <x:v>4.1</x:v>
      </x:c>
      <x:c r="H2" t="str">
        <x:v>demo</x:v>
      </x:c>
      <x:c r="I2" t="str">
        <x:v>à analyser</x:v>
      </x:c>
      <x:c r="J2" t="str"/>
    </x:row>
    <x:row r="3">
      <x:c r="A3" t="str">
        <x:v>soccer_demo</x:v>
      </x:c>
      <x:c r="B3" t="str">
        <x:v>2026-05-21 21:00</x:v>
      </x:c>
      <x:c r="C3" t="str">
        <x:v>Team C</x:v>
      </x:c>
      <x:c r="D3" t="str">
        <x:v>Team D</x:v>
      </x:c>
      <x:c r="E3" t="n">
        <x:v>2.25</x:v>
      </x:c>
      <x:c r="F3" t="n">
        <x:v>3.3</x:v>
      </x:c>
      <x:c r="G3" t="n">
        <x:v>3.2</x:v>
      </x:c>
      <x:c r="H3" t="str">
        <x:v>demo</x:v>
      </x:c>
      <x:c r="I3" t="str">
        <x:v>à analyser</x:v>
      </x:c>
      <x:c r="J3" t="str"/>
    </x:row>
    <x:row r="4">
      <x:c r="A4" t="str">
        <x:v>soccer_demo</x:v>
      </x:c>
      <x:c r="B4" t="str">
        <x:v>2026-05-22 19:00</x:v>
      </x:c>
      <x:c r="C4" t="str">
        <x:v>Team E</x:v>
      </x:c>
      <x:c r="D4" t="str">
        <x:v>Team F</x:v>
      </x:c>
      <x:c r="E4" t="n">
        <x:v>1.7</x:v>
      </x:c>
      <x:c r="F4" t="n">
        <x:v>3.9</x:v>
      </x:c>
      <x:c r="G4" t="n">
        <x:v>5</x:v>
      </x:c>
      <x:c r="H4" t="str">
        <x:v>demo</x:v>
      </x:c>
      <x:c r="I4" t="str">
        <x:v>à analyser</x:v>
      </x:c>
      <x:c r="J4" t="str"/>
    </x:row>
  </x:sheetData>
  <x:pageMargins left="0.7" right="0.7" top="0.75" bottom="0.75" header="0.3" footer="0.3"/>
  <x:tableParts count="1">
    <x:tablePart xmlns:r="http://schemas.openxmlformats.org/officeDocument/2006/relationships" r:id="R3cd5794955fe4cc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6.329999923706055" hidden="0" customWidth="1"/>
    <x:col min="2" max="2" width="6.860000133514404" hidden="0" customWidth="1"/>
    <x:col min="3" max="3" width="12.520000457763672" hidden="0" customWidth="1"/>
    <x:col min="4" max="4" width="12.109999656677246" hidden="0" customWidth="1"/>
    <x:col min="5" max="5" width="8.479999542236328" hidden="0" customWidth="1"/>
    <x:col min="6" max="6" width="14" hidden="0" customWidth="1"/>
    <x:col min="7" max="7" width="16.81999969482422" hidden="0" customWidth="1"/>
    <x:col min="8" max="8" width="18.709999084472656" hidden="0" customWidth="1"/>
    <x:col min="9" max="9" width="7" hidden="0" customWidth="1"/>
    <x:col min="10" max="10" width="11.569999694824219" hidden="0" customWidth="1"/>
    <x:col min="11" max="11" width="16.020000457763672" hidden="0" customWidth="1"/>
    <x:col min="12" max="12" width="10.229999542236328" hidden="0" customWidth="1"/>
    <x:col min="13" max="13" width="9.6899995803833" hidden="0" customWidth="1"/>
    <x:col min="14" max="14" width="11.569999694824219" hidden="0" customWidth="1"/>
    <x:col min="15" max="15" width="9.420000076293945" hidden="0" customWidth="1"/>
  </x:cols>
  <x:sheetData>
    <x:row r="1">
      <x:c r="A1" s="14" t="str">
        <x:v>date</x:v>
      </x:c>
      <x:c r="B1" s="14" t="str">
        <x:v>sport</x:v>
      </x:c>
      <x:c r="C1" s="14" t="str">
        <x:v>home_team</x:v>
      </x:c>
      <x:c r="D1" s="14" t="str">
        <x:v>away_team</x:v>
      </x:c>
      <x:c r="E1" s="14" t="str">
        <x:v>market</x:v>
      </x:c>
      <x:c r="F1" s="14" t="str">
        <x:v>ai_probability</x:v>
      </x:c>
      <x:c r="G1" s="14" t="str">
        <x:v>bookmaker_odds</x:v>
      </x:c>
      <x:c r="H1" s="14" t="str">
        <x:v>implied_probability</x:v>
      </x:c>
      <x:c r="I1" s="14" t="str">
        <x:v>value</x:v>
      </x:c>
      <x:c r="J1" s="14" t="str">
        <x:v>confidence</x:v>
      </x:c>
      <x:c r="K1" s="14" t="str">
        <x:v>suggested_stake</x:v>
      </x:c>
      <x:c r="L1" s="14" t="str">
        <x:v>home_xg</x:v>
      </x:c>
      <x:c r="M1" s="14" t="str">
        <x:v>away_xg</x:v>
      </x:c>
      <x:c r="N1" s="14" t="str">
        <x:v>top_scores</x:v>
      </x:c>
      <x:c r="O1" s="14" t="str">
        <x:v>decision</x:v>
      </x:c>
    </x:row>
    <x:row r="2">
      <x:c r="A2" t="str"/>
      <x:c r="B2" t="str"/>
      <x:c r="C2" t="str"/>
      <x:c r="D2" t="str"/>
      <x:c r="E2" t="str"/>
      <x:c r="F2" s="20" t="str"/>
      <x:c r="G2" s="24" t="str"/>
      <x:c r="H2" s="20" t="str"/>
      <x:c r="I2" s="20" t="str"/>
      <x:c r="J2" t="str"/>
      <x:c r="K2" s="22" t="str"/>
      <x:c r="L2" t="str"/>
      <x:c r="M2" t="str"/>
      <x:c r="N2" t="str"/>
      <x:c r="O2" t="str"/>
    </x:row>
    <x:row r="3">
      <x:c r="F3" s="20"/>
      <x:c r="G3" s="24"/>
      <x:c r="H3" s="20"/>
      <x:c r="I3" s="20"/>
      <x:c r="K3" s="22"/>
    </x:row>
    <x:row r="4">
      <x:c r="F4" s="20"/>
      <x:c r="G4" s="24"/>
      <x:c r="H4" s="20"/>
      <x:c r="I4" s="20"/>
      <x:c r="K4" s="22"/>
    </x:row>
    <x:row r="5">
      <x:c r="F5" s="20"/>
      <x:c r="G5" s="24"/>
      <x:c r="H5" s="20"/>
      <x:c r="I5" s="20"/>
      <x:c r="K5" s="22"/>
    </x:row>
    <x:row r="6">
      <x:c r="F6" s="20"/>
      <x:c r="G6" s="24"/>
      <x:c r="H6" s="20"/>
      <x:c r="I6" s="20"/>
      <x:c r="K6" s="22"/>
    </x:row>
    <x:row r="7">
      <x:c r="F7" s="20"/>
      <x:c r="G7" s="24"/>
      <x:c r="H7" s="20"/>
      <x:c r="I7" s="20"/>
      <x:c r="K7" s="22"/>
    </x:row>
    <x:row r="8">
      <x:c r="F8" s="20"/>
      <x:c r="G8" s="24"/>
      <x:c r="H8" s="20"/>
      <x:c r="I8" s="20"/>
      <x:c r="K8" s="22"/>
    </x:row>
    <x:row r="9">
      <x:c r="F9" s="20"/>
      <x:c r="G9" s="24"/>
      <x:c r="H9" s="20"/>
      <x:c r="I9" s="20"/>
      <x:c r="K9" s="22"/>
    </x:row>
    <x:row r="10">
      <x:c r="F10" s="20"/>
      <x:c r="G10" s="24"/>
      <x:c r="H10" s="20"/>
      <x:c r="I10" s="20"/>
      <x:c r="K10" s="22"/>
    </x:row>
    <x:row r="11">
      <x:c r="F11" s="20"/>
      <x:c r="G11" s="24"/>
      <x:c r="H11" s="20"/>
      <x:c r="I11" s="20"/>
      <x:c r="K11" s="22"/>
    </x:row>
    <x:row r="12">
      <x:c r="F12" s="20"/>
      <x:c r="G12" s="24"/>
      <x:c r="H12" s="20"/>
      <x:c r="I12" s="20"/>
      <x:c r="K12" s="22"/>
    </x:row>
    <x:row r="13">
      <x:c r="F13" s="20"/>
      <x:c r="G13" s="24"/>
      <x:c r="H13" s="20"/>
      <x:c r="I13" s="20"/>
      <x:c r="K13" s="22"/>
    </x:row>
    <x:row r="14">
      <x:c r="F14" s="20"/>
      <x:c r="G14" s="24"/>
      <x:c r="H14" s="20"/>
      <x:c r="I14" s="20"/>
      <x:c r="K14" s="22"/>
    </x:row>
    <x:row r="15">
      <x:c r="F15" s="20"/>
      <x:c r="G15" s="24"/>
      <x:c r="H15" s="20"/>
      <x:c r="I15" s="20"/>
      <x:c r="K15" s="22"/>
    </x:row>
    <x:row r="16">
      <x:c r="F16" s="20"/>
      <x:c r="G16" s="24"/>
      <x:c r="H16" s="20"/>
      <x:c r="I16" s="20"/>
      <x:c r="K16" s="22"/>
    </x:row>
    <x:row r="17">
      <x:c r="F17" s="20"/>
      <x:c r="G17" s="24"/>
      <x:c r="H17" s="20"/>
      <x:c r="I17" s="20"/>
      <x:c r="K17" s="22"/>
    </x:row>
    <x:row r="18">
      <x:c r="F18" s="20"/>
      <x:c r="G18" s="24"/>
      <x:c r="H18" s="20"/>
      <x:c r="I18" s="20"/>
      <x:c r="K18" s="22"/>
    </x:row>
    <x:row r="19">
      <x:c r="F19" s="20"/>
      <x:c r="G19" s="24"/>
      <x:c r="H19" s="20"/>
      <x:c r="I19" s="20"/>
      <x:c r="K19" s="22"/>
    </x:row>
    <x:row r="20">
      <x:c r="F20" s="20"/>
      <x:c r="G20" s="24"/>
      <x:c r="H20" s="20"/>
      <x:c r="I20" s="20"/>
      <x:c r="K20" s="22"/>
    </x:row>
    <x:row r="21">
      <x:c r="F21" s="20"/>
      <x:c r="G21" s="24"/>
      <x:c r="H21" s="20"/>
      <x:c r="I21" s="20"/>
      <x:c r="K21" s="22"/>
    </x:row>
    <x:row r="22">
      <x:c r="F22" s="20"/>
      <x:c r="G22" s="24"/>
      <x:c r="H22" s="20"/>
      <x:c r="I22" s="20"/>
      <x:c r="K22" s="22"/>
    </x:row>
    <x:row r="23">
      <x:c r="F23" s="20"/>
      <x:c r="G23" s="24"/>
      <x:c r="H23" s="20"/>
      <x:c r="I23" s="20"/>
      <x:c r="K23" s="22"/>
    </x:row>
    <x:row r="24">
      <x:c r="F24" s="20"/>
      <x:c r="G24" s="24"/>
      <x:c r="H24" s="20"/>
      <x:c r="I24" s="20"/>
      <x:c r="K24" s="22"/>
    </x:row>
    <x:row r="25">
      <x:c r="F25" s="20"/>
      <x:c r="G25" s="24"/>
      <x:c r="H25" s="20"/>
      <x:c r="I25" s="20"/>
      <x:c r="K25" s="22"/>
    </x:row>
    <x:row r="26">
      <x:c r="F26" s="20"/>
      <x:c r="G26" s="24"/>
      <x:c r="H26" s="20"/>
      <x:c r="I26" s="20"/>
      <x:c r="K26" s="22"/>
    </x:row>
    <x:row r="27">
      <x:c r="F27" s="20"/>
      <x:c r="G27" s="24"/>
      <x:c r="H27" s="20"/>
      <x:c r="I27" s="20"/>
      <x:c r="K27" s="22"/>
    </x:row>
    <x:row r="28">
      <x:c r="F28" s="20"/>
      <x:c r="G28" s="24"/>
      <x:c r="H28" s="20"/>
      <x:c r="I28" s="20"/>
      <x:c r="K28" s="22"/>
    </x:row>
    <x:row r="29">
      <x:c r="F29" s="20"/>
      <x:c r="G29" s="24"/>
      <x:c r="H29" s="20"/>
      <x:c r="I29" s="20"/>
      <x:c r="K29" s="22"/>
    </x:row>
    <x:row r="30">
      <x:c r="F30" s="20"/>
      <x:c r="G30" s="24"/>
      <x:c r="H30" s="20"/>
      <x:c r="I30" s="20"/>
      <x:c r="K30" s="22"/>
    </x:row>
    <x:row r="31">
      <x:c r="F31" s="20"/>
      <x:c r="G31" s="24"/>
      <x:c r="H31" s="20"/>
      <x:c r="I31" s="20"/>
      <x:c r="K31" s="22"/>
    </x:row>
    <x:row r="32">
      <x:c r="F32" s="20"/>
      <x:c r="G32" s="24"/>
      <x:c r="H32" s="20"/>
      <x:c r="I32" s="20"/>
      <x:c r="K32" s="22"/>
    </x:row>
    <x:row r="33">
      <x:c r="F33" s="20"/>
      <x:c r="G33" s="24"/>
      <x:c r="H33" s="20"/>
      <x:c r="I33" s="20"/>
      <x:c r="K33" s="22"/>
    </x:row>
    <x:row r="34">
      <x:c r="F34" s="20"/>
      <x:c r="G34" s="24"/>
      <x:c r="H34" s="20"/>
      <x:c r="I34" s="20"/>
      <x:c r="K34" s="22"/>
    </x:row>
    <x:row r="35">
      <x:c r="F35" s="20"/>
      <x:c r="G35" s="24"/>
      <x:c r="H35" s="20"/>
      <x:c r="I35" s="20"/>
      <x:c r="K35" s="22"/>
    </x:row>
    <x:row r="36">
      <x:c r="F36" s="20"/>
      <x:c r="G36" s="24"/>
      <x:c r="H36" s="20"/>
      <x:c r="I36" s="20"/>
      <x:c r="K36" s="22"/>
    </x:row>
    <x:row r="37">
      <x:c r="F37" s="20"/>
      <x:c r="G37" s="24"/>
      <x:c r="H37" s="20"/>
      <x:c r="I37" s="20"/>
      <x:c r="K37" s="22"/>
    </x:row>
    <x:row r="38">
      <x:c r="F38" s="20"/>
      <x:c r="G38" s="24"/>
      <x:c r="H38" s="20"/>
      <x:c r="I38" s="20"/>
      <x:c r="K38" s="22"/>
    </x:row>
    <x:row r="39">
      <x:c r="F39" s="20"/>
      <x:c r="G39" s="24"/>
      <x:c r="H39" s="20"/>
      <x:c r="I39" s="20"/>
      <x:c r="K39" s="22"/>
    </x:row>
    <x:row r="40">
      <x:c r="F40" s="20"/>
      <x:c r="G40" s="24"/>
      <x:c r="H40" s="20"/>
      <x:c r="I40" s="20"/>
      <x:c r="K40" s="22"/>
    </x:row>
    <x:row r="41">
      <x:c r="F41" s="20"/>
      <x:c r="G41" s="24"/>
      <x:c r="H41" s="20"/>
      <x:c r="I41" s="20"/>
      <x:c r="K41" s="22"/>
    </x:row>
    <x:row r="42">
      <x:c r="F42" s="20"/>
      <x:c r="G42" s="24"/>
      <x:c r="H42" s="20"/>
      <x:c r="I42" s="20"/>
      <x:c r="K42" s="22"/>
    </x:row>
    <x:row r="43">
      <x:c r="F43" s="20"/>
      <x:c r="G43" s="24"/>
      <x:c r="H43" s="20"/>
      <x:c r="I43" s="20"/>
      <x:c r="K43" s="22"/>
    </x:row>
    <x:row r="44">
      <x:c r="F44" s="20"/>
      <x:c r="G44" s="24"/>
      <x:c r="H44" s="20"/>
      <x:c r="I44" s="20"/>
      <x:c r="K44" s="22"/>
    </x:row>
    <x:row r="45">
      <x:c r="F45" s="20"/>
      <x:c r="G45" s="24"/>
      <x:c r="H45" s="20"/>
      <x:c r="I45" s="20"/>
      <x:c r="K45" s="22"/>
    </x:row>
    <x:row r="46">
      <x:c r="F46" s="20"/>
      <x:c r="G46" s="24"/>
      <x:c r="H46" s="20"/>
      <x:c r="I46" s="20"/>
      <x:c r="K46" s="22"/>
    </x:row>
    <x:row r="47">
      <x:c r="F47" s="20"/>
      <x:c r="G47" s="24"/>
      <x:c r="H47" s="20"/>
      <x:c r="I47" s="20"/>
      <x:c r="K47" s="22"/>
    </x:row>
    <x:row r="48">
      <x:c r="F48" s="20"/>
      <x:c r="G48" s="24"/>
      <x:c r="H48" s="20"/>
      <x:c r="I48" s="20"/>
      <x:c r="K48" s="22"/>
    </x:row>
    <x:row r="49">
      <x:c r="F49" s="20"/>
      <x:c r="G49" s="24"/>
      <x:c r="H49" s="20"/>
      <x:c r="I49" s="20"/>
      <x:c r="K49" s="22"/>
    </x:row>
    <x:row r="50">
      <x:c r="F50" s="20"/>
      <x:c r="G50" s="24"/>
      <x:c r="H50" s="20"/>
      <x:c r="I50" s="20"/>
      <x:c r="K50" s="22"/>
    </x:row>
    <x:row r="51">
      <x:c r="F51" s="20"/>
      <x:c r="G51" s="24"/>
      <x:c r="H51" s="20"/>
      <x:c r="I51" s="20"/>
      <x:c r="K51" s="22"/>
    </x:row>
    <x:row r="52">
      <x:c r="F52" s="20"/>
      <x:c r="G52" s="24"/>
      <x:c r="H52" s="20"/>
      <x:c r="I52" s="20"/>
      <x:c r="K52" s="22"/>
    </x:row>
    <x:row r="53">
      <x:c r="F53" s="20"/>
      <x:c r="G53" s="24"/>
      <x:c r="H53" s="20"/>
      <x:c r="I53" s="20"/>
      <x:c r="K53" s="22"/>
    </x:row>
    <x:row r="54">
      <x:c r="F54" s="20"/>
      <x:c r="G54" s="24"/>
      <x:c r="H54" s="20"/>
      <x:c r="I54" s="20"/>
      <x:c r="K54" s="22"/>
    </x:row>
    <x:row r="55">
      <x:c r="F55" s="20"/>
      <x:c r="G55" s="24"/>
      <x:c r="H55" s="20"/>
      <x:c r="I55" s="20"/>
      <x:c r="K55" s="22"/>
    </x:row>
    <x:row r="56">
      <x:c r="F56" s="20"/>
      <x:c r="G56" s="24"/>
      <x:c r="H56" s="20"/>
      <x:c r="I56" s="20"/>
      <x:c r="K56" s="22"/>
    </x:row>
    <x:row r="57">
      <x:c r="F57" s="20"/>
      <x:c r="G57" s="24"/>
      <x:c r="H57" s="20"/>
      <x:c r="I57" s="20"/>
      <x:c r="K57" s="22"/>
    </x:row>
    <x:row r="58">
      <x:c r="F58" s="20"/>
      <x:c r="G58" s="24"/>
      <x:c r="H58" s="20"/>
      <x:c r="I58" s="20"/>
      <x:c r="K58" s="22"/>
    </x:row>
    <x:row r="59">
      <x:c r="F59" s="20"/>
      <x:c r="G59" s="24"/>
      <x:c r="H59" s="20"/>
      <x:c r="I59" s="20"/>
      <x:c r="K59" s="22"/>
    </x:row>
    <x:row r="60">
      <x:c r="F60" s="20"/>
      <x:c r="G60" s="24"/>
      <x:c r="H60" s="20"/>
      <x:c r="I60" s="20"/>
      <x:c r="K60" s="22"/>
    </x:row>
    <x:row r="61">
      <x:c r="F61" s="20"/>
      <x:c r="G61" s="24"/>
      <x:c r="H61" s="20"/>
      <x:c r="I61" s="20"/>
      <x:c r="K61" s="22"/>
    </x:row>
    <x:row r="62">
      <x:c r="F62" s="20"/>
      <x:c r="G62" s="24"/>
      <x:c r="H62" s="20"/>
      <x:c r="I62" s="20"/>
      <x:c r="K62" s="22"/>
    </x:row>
    <x:row r="63">
      <x:c r="F63" s="20"/>
      <x:c r="G63" s="24"/>
      <x:c r="H63" s="20"/>
      <x:c r="I63" s="20"/>
      <x:c r="K63" s="22"/>
    </x:row>
    <x:row r="64">
      <x:c r="F64" s="20"/>
      <x:c r="G64" s="24"/>
      <x:c r="H64" s="20"/>
      <x:c r="I64" s="20"/>
      <x:c r="K64" s="22"/>
    </x:row>
    <x:row r="65">
      <x:c r="F65" s="20"/>
      <x:c r="G65" s="24"/>
      <x:c r="H65" s="20"/>
      <x:c r="I65" s="20"/>
      <x:c r="K65" s="22"/>
    </x:row>
    <x:row r="66">
      <x:c r="F66" s="20"/>
      <x:c r="G66" s="24"/>
      <x:c r="H66" s="20"/>
      <x:c r="I66" s="20"/>
      <x:c r="K66" s="22"/>
    </x:row>
    <x:row r="67">
      <x:c r="F67" s="20"/>
      <x:c r="G67" s="24"/>
      <x:c r="H67" s="20"/>
      <x:c r="I67" s="20"/>
      <x:c r="K67" s="22"/>
    </x:row>
    <x:row r="68">
      <x:c r="F68" s="20"/>
      <x:c r="G68" s="24"/>
      <x:c r="H68" s="20"/>
      <x:c r="I68" s="20"/>
      <x:c r="K68" s="22"/>
    </x:row>
    <x:row r="69">
      <x:c r="F69" s="20"/>
      <x:c r="G69" s="24"/>
      <x:c r="H69" s="20"/>
      <x:c r="I69" s="20"/>
      <x:c r="K69" s="22"/>
    </x:row>
    <x:row r="70">
      <x:c r="F70" s="20"/>
      <x:c r="G70" s="24"/>
      <x:c r="H70" s="20"/>
      <x:c r="I70" s="20"/>
      <x:c r="K70" s="22"/>
    </x:row>
    <x:row r="71">
      <x:c r="F71" s="20"/>
      <x:c r="G71" s="24"/>
      <x:c r="H71" s="20"/>
      <x:c r="I71" s="20"/>
      <x:c r="K71" s="22"/>
    </x:row>
    <x:row r="72">
      <x:c r="F72" s="20"/>
      <x:c r="G72" s="24"/>
      <x:c r="H72" s="20"/>
      <x:c r="I72" s="20"/>
      <x:c r="K72" s="22"/>
    </x:row>
    <x:row r="73">
      <x:c r="F73" s="20"/>
      <x:c r="G73" s="24"/>
      <x:c r="H73" s="20"/>
      <x:c r="I73" s="20"/>
      <x:c r="K73" s="22"/>
    </x:row>
    <x:row r="74">
      <x:c r="F74" s="20"/>
      <x:c r="G74" s="24"/>
      <x:c r="H74" s="20"/>
      <x:c r="I74" s="20"/>
      <x:c r="K74" s="22"/>
    </x:row>
    <x:row r="75">
      <x:c r="F75" s="20"/>
      <x:c r="G75" s="24"/>
      <x:c r="H75" s="20"/>
      <x:c r="I75" s="20"/>
      <x:c r="K75" s="22"/>
    </x:row>
    <x:row r="76">
      <x:c r="F76" s="20"/>
      <x:c r="G76" s="24"/>
      <x:c r="H76" s="20"/>
      <x:c r="I76" s="20"/>
      <x:c r="K76" s="22"/>
    </x:row>
    <x:row r="77">
      <x:c r="F77" s="20"/>
      <x:c r="G77" s="24"/>
      <x:c r="H77" s="20"/>
      <x:c r="I77" s="20"/>
      <x:c r="K77" s="22"/>
    </x:row>
    <x:row r="78">
      <x:c r="F78" s="20"/>
      <x:c r="G78" s="24"/>
      <x:c r="H78" s="20"/>
      <x:c r="I78" s="20"/>
      <x:c r="K78" s="22"/>
    </x:row>
    <x:row r="79">
      <x:c r="F79" s="20"/>
      <x:c r="G79" s="24"/>
      <x:c r="H79" s="20"/>
      <x:c r="I79" s="20"/>
      <x:c r="K79" s="22"/>
    </x:row>
    <x:row r="80">
      <x:c r="F80" s="20"/>
      <x:c r="G80" s="24"/>
      <x:c r="H80" s="20"/>
      <x:c r="I80" s="20"/>
      <x:c r="K80" s="22"/>
    </x:row>
    <x:row r="81">
      <x:c r="F81" s="20"/>
      <x:c r="G81" s="24"/>
      <x:c r="H81" s="20"/>
      <x:c r="I81" s="20"/>
      <x:c r="K81" s="22"/>
    </x:row>
    <x:row r="82">
      <x:c r="F82" s="20"/>
      <x:c r="G82" s="24"/>
      <x:c r="H82" s="20"/>
      <x:c r="I82" s="20"/>
      <x:c r="K82" s="22"/>
    </x:row>
    <x:row r="83">
      <x:c r="F83" s="20"/>
      <x:c r="G83" s="24"/>
      <x:c r="H83" s="20"/>
      <x:c r="I83" s="20"/>
      <x:c r="K83" s="22"/>
    </x:row>
    <x:row r="84">
      <x:c r="F84" s="20"/>
      <x:c r="G84" s="24"/>
      <x:c r="H84" s="20"/>
      <x:c r="I84" s="20"/>
      <x:c r="K84" s="22"/>
    </x:row>
    <x:row r="85">
      <x:c r="F85" s="20"/>
      <x:c r="G85" s="24"/>
      <x:c r="H85" s="20"/>
      <x:c r="I85" s="20"/>
      <x:c r="K85" s="22"/>
    </x:row>
    <x:row r="86">
      <x:c r="F86" s="20"/>
      <x:c r="G86" s="24"/>
      <x:c r="H86" s="20"/>
      <x:c r="I86" s="20"/>
      <x:c r="K86" s="22"/>
    </x:row>
    <x:row r="87">
      <x:c r="F87" s="20"/>
      <x:c r="G87" s="24"/>
      <x:c r="H87" s="20"/>
      <x:c r="I87" s="20"/>
      <x:c r="K87" s="22"/>
    </x:row>
    <x:row r="88">
      <x:c r="F88" s="20"/>
      <x:c r="G88" s="24"/>
      <x:c r="H88" s="20"/>
      <x:c r="I88" s="20"/>
      <x:c r="K88" s="22"/>
    </x:row>
    <x:row r="89">
      <x:c r="F89" s="20"/>
      <x:c r="G89" s="24"/>
      <x:c r="H89" s="20"/>
      <x:c r="I89" s="20"/>
      <x:c r="K89" s="22"/>
    </x:row>
    <x:row r="90">
      <x:c r="F90" s="20"/>
      <x:c r="G90" s="24"/>
      <x:c r="H90" s="20"/>
      <x:c r="I90" s="20"/>
      <x:c r="K90" s="22"/>
    </x:row>
    <x:row r="91">
      <x:c r="F91" s="20"/>
      <x:c r="G91" s="24"/>
      <x:c r="H91" s="20"/>
      <x:c r="I91" s="20"/>
      <x:c r="K91" s="22"/>
    </x:row>
    <x:row r="92">
      <x:c r="F92" s="20"/>
      <x:c r="G92" s="24"/>
      <x:c r="H92" s="20"/>
      <x:c r="I92" s="20"/>
      <x:c r="K92" s="22"/>
    </x:row>
    <x:row r="93">
      <x:c r="F93" s="20"/>
      <x:c r="G93" s="24"/>
      <x:c r="H93" s="20"/>
      <x:c r="I93" s="20"/>
      <x:c r="K93" s="22"/>
    </x:row>
    <x:row r="94">
      <x:c r="F94" s="20"/>
      <x:c r="G94" s="24"/>
      <x:c r="H94" s="20"/>
      <x:c r="I94" s="20"/>
      <x:c r="K94" s="22"/>
    </x:row>
    <x:row r="95">
      <x:c r="F95" s="20"/>
      <x:c r="G95" s="24"/>
      <x:c r="H95" s="20"/>
      <x:c r="I95" s="20"/>
      <x:c r="K95" s="22"/>
    </x:row>
    <x:row r="96">
      <x:c r="F96" s="20"/>
      <x:c r="G96" s="24"/>
      <x:c r="H96" s="20"/>
      <x:c r="I96" s="20"/>
      <x:c r="K96" s="22"/>
    </x:row>
    <x:row r="97">
      <x:c r="F97" s="20"/>
      <x:c r="G97" s="24"/>
      <x:c r="H97" s="20"/>
      <x:c r="I97" s="20"/>
      <x:c r="K97" s="22"/>
    </x:row>
    <x:row r="98">
      <x:c r="F98" s="20"/>
      <x:c r="G98" s="24"/>
      <x:c r="H98" s="20"/>
      <x:c r="I98" s="20"/>
      <x:c r="K98" s="22"/>
    </x:row>
    <x:row r="99">
      <x:c r="F99" s="20"/>
      <x:c r="G99" s="24"/>
      <x:c r="H99" s="20"/>
      <x:c r="I99" s="20"/>
      <x:c r="K99" s="22"/>
    </x:row>
    <x:row r="100">
      <x:c r="F100" s="20"/>
      <x:c r="G100" s="24"/>
      <x:c r="H100" s="20"/>
      <x:c r="I100" s="20"/>
      <x:c r="K100" s="22"/>
    </x:row>
    <x:row r="101">
      <x:c r="F101" s="20"/>
      <x:c r="G101" s="24"/>
      <x:c r="H101" s="20"/>
      <x:c r="I101" s="20"/>
      <x:c r="K101" s="22"/>
    </x:row>
    <x:row r="102">
      <x:c r="F102" s="20"/>
      <x:c r="G102" s="24"/>
      <x:c r="H102" s="20"/>
      <x:c r="I102" s="20"/>
      <x:c r="K102" s="22"/>
    </x:row>
    <x:row r="103">
      <x:c r="F103" s="20"/>
      <x:c r="G103" s="24"/>
      <x:c r="H103" s="20"/>
      <x:c r="I103" s="20"/>
      <x:c r="K103" s="22"/>
    </x:row>
    <x:row r="104">
      <x:c r="F104" s="20"/>
      <x:c r="G104" s="24"/>
      <x:c r="H104" s="20"/>
      <x:c r="I104" s="20"/>
      <x:c r="K104" s="22"/>
    </x:row>
    <x:row r="105">
      <x:c r="F105" s="20"/>
      <x:c r="G105" s="24"/>
      <x:c r="H105" s="20"/>
      <x:c r="I105" s="20"/>
      <x:c r="K105" s="22"/>
    </x:row>
    <x:row r="106">
      <x:c r="F106" s="20"/>
      <x:c r="G106" s="24"/>
      <x:c r="H106" s="20"/>
      <x:c r="I106" s="20"/>
      <x:c r="K106" s="22"/>
    </x:row>
    <x:row r="107">
      <x:c r="F107" s="20"/>
      <x:c r="G107" s="24"/>
      <x:c r="H107" s="20"/>
      <x:c r="I107" s="20"/>
      <x:c r="K107" s="22"/>
    </x:row>
    <x:row r="108">
      <x:c r="F108" s="20"/>
      <x:c r="G108" s="24"/>
      <x:c r="H108" s="20"/>
      <x:c r="I108" s="20"/>
      <x:c r="K108" s="22"/>
    </x:row>
    <x:row r="109">
      <x:c r="F109" s="20"/>
      <x:c r="G109" s="24"/>
      <x:c r="H109" s="20"/>
      <x:c r="I109" s="20"/>
      <x:c r="K109" s="22"/>
    </x:row>
    <x:row r="110">
      <x:c r="F110" s="20"/>
      <x:c r="G110" s="24"/>
      <x:c r="H110" s="20"/>
      <x:c r="I110" s="20"/>
      <x:c r="K110" s="22"/>
    </x:row>
    <x:row r="111">
      <x:c r="F111" s="20"/>
      <x:c r="G111" s="24"/>
      <x:c r="H111" s="20"/>
      <x:c r="I111" s="20"/>
      <x:c r="K111" s="22"/>
    </x:row>
    <x:row r="112">
      <x:c r="F112" s="20"/>
      <x:c r="G112" s="24"/>
      <x:c r="H112" s="20"/>
      <x:c r="I112" s="20"/>
      <x:c r="K112" s="22"/>
    </x:row>
    <x:row r="113">
      <x:c r="F113" s="20"/>
      <x:c r="G113" s="24"/>
      <x:c r="H113" s="20"/>
      <x:c r="I113" s="20"/>
      <x:c r="K113" s="22"/>
    </x:row>
    <x:row r="114">
      <x:c r="F114" s="20"/>
      <x:c r="G114" s="24"/>
      <x:c r="H114" s="20"/>
      <x:c r="I114" s="20"/>
      <x:c r="K114" s="22"/>
    </x:row>
    <x:row r="115">
      <x:c r="F115" s="20"/>
      <x:c r="G115" s="24"/>
      <x:c r="H115" s="20"/>
      <x:c r="I115" s="20"/>
      <x:c r="K115" s="22"/>
    </x:row>
    <x:row r="116">
      <x:c r="F116" s="20"/>
      <x:c r="G116" s="24"/>
      <x:c r="H116" s="20"/>
      <x:c r="I116" s="20"/>
      <x:c r="K116" s="22"/>
    </x:row>
    <x:row r="117">
      <x:c r="F117" s="20"/>
      <x:c r="G117" s="24"/>
      <x:c r="H117" s="20"/>
      <x:c r="I117" s="20"/>
      <x:c r="K117" s="22"/>
    </x:row>
    <x:row r="118">
      <x:c r="F118" s="20"/>
      <x:c r="G118" s="24"/>
      <x:c r="H118" s="20"/>
      <x:c r="I118" s="20"/>
      <x:c r="K118" s="22"/>
    </x:row>
    <x:row r="119">
      <x:c r="F119" s="20"/>
      <x:c r="G119" s="24"/>
      <x:c r="H119" s="20"/>
      <x:c r="I119" s="20"/>
      <x:c r="K119" s="22"/>
    </x:row>
    <x:row r="120">
      <x:c r="F120" s="20"/>
      <x:c r="G120" s="24"/>
      <x:c r="H120" s="20"/>
      <x:c r="I120" s="20"/>
      <x:c r="K120" s="22"/>
    </x:row>
    <x:row r="121">
      <x:c r="F121" s="20"/>
      <x:c r="G121" s="24"/>
      <x:c r="H121" s="20"/>
      <x:c r="I121" s="20"/>
      <x:c r="K121" s="22"/>
    </x:row>
    <x:row r="122">
      <x:c r="F122" s="20"/>
      <x:c r="G122" s="24"/>
      <x:c r="H122" s="20"/>
      <x:c r="I122" s="20"/>
      <x:c r="K122" s="22"/>
    </x:row>
    <x:row r="123">
      <x:c r="F123" s="20"/>
      <x:c r="G123" s="24"/>
      <x:c r="H123" s="20"/>
      <x:c r="I123" s="20"/>
      <x:c r="K123" s="22"/>
    </x:row>
    <x:row r="124">
      <x:c r="F124" s="20"/>
      <x:c r="G124" s="24"/>
      <x:c r="H124" s="20"/>
      <x:c r="I124" s="20"/>
      <x:c r="K124" s="22"/>
    </x:row>
    <x:row r="125">
      <x:c r="F125" s="20"/>
      <x:c r="G125" s="24"/>
      <x:c r="H125" s="20"/>
      <x:c r="I125" s="20"/>
      <x:c r="K125" s="22"/>
    </x:row>
    <x:row r="126">
      <x:c r="F126" s="20"/>
      <x:c r="G126" s="24"/>
      <x:c r="H126" s="20"/>
      <x:c r="I126" s="20"/>
      <x:c r="K126" s="22"/>
    </x:row>
    <x:row r="127">
      <x:c r="F127" s="20"/>
      <x:c r="G127" s="24"/>
      <x:c r="H127" s="20"/>
      <x:c r="I127" s="20"/>
      <x:c r="K127" s="22"/>
    </x:row>
    <x:row r="128">
      <x:c r="F128" s="20"/>
      <x:c r="G128" s="24"/>
      <x:c r="H128" s="20"/>
      <x:c r="I128" s="20"/>
      <x:c r="K128" s="22"/>
    </x:row>
    <x:row r="129">
      <x:c r="F129" s="20"/>
      <x:c r="G129" s="24"/>
      <x:c r="H129" s="20"/>
      <x:c r="I129" s="20"/>
      <x:c r="K129" s="22"/>
    </x:row>
    <x:row r="130">
      <x:c r="F130" s="20"/>
      <x:c r="G130" s="24"/>
      <x:c r="H130" s="20"/>
      <x:c r="I130" s="20"/>
      <x:c r="K130" s="22"/>
    </x:row>
    <x:row r="131">
      <x:c r="F131" s="20"/>
      <x:c r="G131" s="24"/>
      <x:c r="H131" s="20"/>
      <x:c r="I131" s="20"/>
      <x:c r="K131" s="22"/>
    </x:row>
    <x:row r="132">
      <x:c r="F132" s="20"/>
      <x:c r="G132" s="24"/>
      <x:c r="H132" s="20"/>
      <x:c r="I132" s="20"/>
      <x:c r="K132" s="22"/>
    </x:row>
    <x:row r="133">
      <x:c r="F133" s="20"/>
      <x:c r="G133" s="24"/>
      <x:c r="H133" s="20"/>
      <x:c r="I133" s="20"/>
      <x:c r="K133" s="22"/>
    </x:row>
    <x:row r="134">
      <x:c r="F134" s="20"/>
      <x:c r="G134" s="24"/>
      <x:c r="H134" s="20"/>
      <x:c r="I134" s="20"/>
      <x:c r="K134" s="22"/>
    </x:row>
    <x:row r="135">
      <x:c r="F135" s="20"/>
      <x:c r="G135" s="24"/>
      <x:c r="H135" s="20"/>
      <x:c r="I135" s="20"/>
      <x:c r="K135" s="22"/>
    </x:row>
    <x:row r="136">
      <x:c r="F136" s="20"/>
      <x:c r="G136" s="24"/>
      <x:c r="H136" s="20"/>
      <x:c r="I136" s="20"/>
      <x:c r="K136" s="22"/>
    </x:row>
    <x:row r="137">
      <x:c r="F137" s="20"/>
      <x:c r="G137" s="24"/>
      <x:c r="H137" s="20"/>
      <x:c r="I137" s="20"/>
      <x:c r="K137" s="22"/>
    </x:row>
    <x:row r="138">
      <x:c r="F138" s="20"/>
      <x:c r="G138" s="24"/>
      <x:c r="H138" s="20"/>
      <x:c r="I138" s="20"/>
      <x:c r="K138" s="22"/>
    </x:row>
    <x:row r="139">
      <x:c r="F139" s="20"/>
      <x:c r="G139" s="24"/>
      <x:c r="H139" s="20"/>
      <x:c r="I139" s="20"/>
      <x:c r="K139" s="22"/>
    </x:row>
    <x:row r="140">
      <x:c r="F140" s="20"/>
      <x:c r="G140" s="24"/>
      <x:c r="H140" s="20"/>
      <x:c r="I140" s="20"/>
      <x:c r="K140" s="22"/>
    </x:row>
    <x:row r="141">
      <x:c r="F141" s="20"/>
      <x:c r="G141" s="24"/>
      <x:c r="H141" s="20"/>
      <x:c r="I141" s="20"/>
      <x:c r="K141" s="22"/>
    </x:row>
    <x:row r="142">
      <x:c r="F142" s="20"/>
      <x:c r="G142" s="24"/>
      <x:c r="H142" s="20"/>
      <x:c r="I142" s="20"/>
      <x:c r="K142" s="22"/>
    </x:row>
    <x:row r="143">
      <x:c r="F143" s="20"/>
      <x:c r="G143" s="24"/>
      <x:c r="H143" s="20"/>
      <x:c r="I143" s="20"/>
      <x:c r="K143" s="22"/>
    </x:row>
    <x:row r="144">
      <x:c r="F144" s="20"/>
      <x:c r="G144" s="24"/>
      <x:c r="H144" s="20"/>
      <x:c r="I144" s="20"/>
      <x:c r="K144" s="22"/>
    </x:row>
    <x:row r="145">
      <x:c r="F145" s="20"/>
      <x:c r="G145" s="24"/>
      <x:c r="H145" s="20"/>
      <x:c r="I145" s="20"/>
      <x:c r="K145" s="22"/>
    </x:row>
    <x:row r="146">
      <x:c r="F146" s="20"/>
      <x:c r="G146" s="24"/>
      <x:c r="H146" s="20"/>
      <x:c r="I146" s="20"/>
      <x:c r="K146" s="22"/>
    </x:row>
    <x:row r="147">
      <x:c r="F147" s="20"/>
      <x:c r="G147" s="24"/>
      <x:c r="H147" s="20"/>
      <x:c r="I147" s="20"/>
      <x:c r="K147" s="22"/>
    </x:row>
    <x:row r="148">
      <x:c r="F148" s="20"/>
      <x:c r="G148" s="24"/>
      <x:c r="H148" s="20"/>
      <x:c r="I148" s="20"/>
      <x:c r="K148" s="22"/>
    </x:row>
    <x:row r="149">
      <x:c r="F149" s="20"/>
      <x:c r="G149" s="24"/>
      <x:c r="H149" s="20"/>
      <x:c r="I149" s="20"/>
      <x:c r="K149" s="22"/>
    </x:row>
    <x:row r="150">
      <x:c r="F150" s="20"/>
      <x:c r="G150" s="24"/>
      <x:c r="H150" s="20"/>
      <x:c r="I150" s="20"/>
      <x:c r="K150" s="22"/>
    </x:row>
    <x:row r="151">
      <x:c r="F151" s="20"/>
      <x:c r="G151" s="24"/>
      <x:c r="H151" s="20"/>
      <x:c r="I151" s="20"/>
      <x:c r="K151" s="22"/>
    </x:row>
    <x:row r="152">
      <x:c r="F152" s="20"/>
      <x:c r="G152" s="24"/>
      <x:c r="H152" s="20"/>
      <x:c r="I152" s="20"/>
      <x:c r="K152" s="22"/>
    </x:row>
    <x:row r="153">
      <x:c r="F153" s="20"/>
      <x:c r="G153" s="24"/>
      <x:c r="H153" s="20"/>
      <x:c r="I153" s="20"/>
      <x:c r="K153" s="22"/>
    </x:row>
    <x:row r="154">
      <x:c r="F154" s="20"/>
      <x:c r="G154" s="24"/>
      <x:c r="H154" s="20"/>
      <x:c r="I154" s="20"/>
      <x:c r="K154" s="22"/>
    </x:row>
    <x:row r="155">
      <x:c r="F155" s="20"/>
      <x:c r="G155" s="24"/>
      <x:c r="H155" s="20"/>
      <x:c r="I155" s="20"/>
      <x:c r="K155" s="22"/>
    </x:row>
    <x:row r="156">
      <x:c r="F156" s="20"/>
      <x:c r="G156" s="24"/>
      <x:c r="H156" s="20"/>
      <x:c r="I156" s="20"/>
      <x:c r="K156" s="22"/>
    </x:row>
    <x:row r="157">
      <x:c r="F157" s="20"/>
      <x:c r="G157" s="24"/>
      <x:c r="H157" s="20"/>
      <x:c r="I157" s="20"/>
      <x:c r="K157" s="22"/>
    </x:row>
    <x:row r="158">
      <x:c r="F158" s="20"/>
      <x:c r="G158" s="24"/>
      <x:c r="H158" s="20"/>
      <x:c r="I158" s="20"/>
      <x:c r="K158" s="22"/>
    </x:row>
    <x:row r="159">
      <x:c r="F159" s="20"/>
      <x:c r="G159" s="24"/>
      <x:c r="H159" s="20"/>
      <x:c r="I159" s="20"/>
      <x:c r="K159" s="22"/>
    </x:row>
    <x:row r="160">
      <x:c r="F160" s="20"/>
      <x:c r="G160" s="24"/>
      <x:c r="H160" s="20"/>
      <x:c r="I160" s="20"/>
      <x:c r="K160" s="22"/>
    </x:row>
    <x:row r="161">
      <x:c r="F161" s="20"/>
      <x:c r="G161" s="24"/>
      <x:c r="H161" s="20"/>
      <x:c r="I161" s="20"/>
      <x:c r="K161" s="22"/>
    </x:row>
    <x:row r="162">
      <x:c r="F162" s="20"/>
      <x:c r="G162" s="24"/>
      <x:c r="H162" s="20"/>
      <x:c r="I162" s="20"/>
      <x:c r="K162" s="22"/>
    </x:row>
    <x:row r="163">
      <x:c r="F163" s="20"/>
      <x:c r="G163" s="24"/>
      <x:c r="H163" s="20"/>
      <x:c r="I163" s="20"/>
      <x:c r="K163" s="22"/>
    </x:row>
    <x:row r="164">
      <x:c r="F164" s="20"/>
      <x:c r="G164" s="24"/>
      <x:c r="H164" s="20"/>
      <x:c r="I164" s="20"/>
      <x:c r="K164" s="22"/>
    </x:row>
    <x:row r="165">
      <x:c r="F165" s="20"/>
      <x:c r="G165" s="24"/>
      <x:c r="H165" s="20"/>
      <x:c r="I165" s="20"/>
      <x:c r="K165" s="22"/>
    </x:row>
    <x:row r="166">
      <x:c r="F166" s="20"/>
      <x:c r="G166" s="24"/>
      <x:c r="H166" s="20"/>
      <x:c r="I166" s="20"/>
      <x:c r="K166" s="22"/>
    </x:row>
    <x:row r="167">
      <x:c r="F167" s="20"/>
      <x:c r="G167" s="24"/>
      <x:c r="H167" s="20"/>
      <x:c r="I167" s="20"/>
      <x:c r="K167" s="22"/>
    </x:row>
    <x:row r="168">
      <x:c r="F168" s="20"/>
      <x:c r="G168" s="24"/>
      <x:c r="H168" s="20"/>
      <x:c r="I168" s="20"/>
      <x:c r="K168" s="22"/>
    </x:row>
    <x:row r="169">
      <x:c r="F169" s="20"/>
      <x:c r="G169" s="24"/>
      <x:c r="H169" s="20"/>
      <x:c r="I169" s="20"/>
      <x:c r="K169" s="22"/>
    </x:row>
    <x:row r="170">
      <x:c r="F170" s="20"/>
      <x:c r="G170" s="24"/>
      <x:c r="H170" s="20"/>
      <x:c r="I170" s="20"/>
      <x:c r="K170" s="22"/>
    </x:row>
    <x:row r="171">
      <x:c r="F171" s="20"/>
      <x:c r="G171" s="24"/>
      <x:c r="H171" s="20"/>
      <x:c r="I171" s="20"/>
      <x:c r="K171" s="22"/>
    </x:row>
    <x:row r="172">
      <x:c r="F172" s="20"/>
      <x:c r="G172" s="24"/>
      <x:c r="H172" s="20"/>
      <x:c r="I172" s="20"/>
      <x:c r="K172" s="22"/>
    </x:row>
    <x:row r="173">
      <x:c r="F173" s="20"/>
      <x:c r="G173" s="24"/>
      <x:c r="H173" s="20"/>
      <x:c r="I173" s="20"/>
      <x:c r="K173" s="22"/>
    </x:row>
    <x:row r="174">
      <x:c r="F174" s="20"/>
      <x:c r="G174" s="24"/>
      <x:c r="H174" s="20"/>
      <x:c r="I174" s="20"/>
      <x:c r="K174" s="22"/>
    </x:row>
    <x:row r="175">
      <x:c r="F175" s="20"/>
      <x:c r="G175" s="24"/>
      <x:c r="H175" s="20"/>
      <x:c r="I175" s="20"/>
      <x:c r="K175" s="22"/>
    </x:row>
    <x:row r="176">
      <x:c r="F176" s="20"/>
      <x:c r="G176" s="24"/>
      <x:c r="H176" s="20"/>
      <x:c r="I176" s="20"/>
      <x:c r="K176" s="22"/>
    </x:row>
    <x:row r="177">
      <x:c r="F177" s="20"/>
      <x:c r="G177" s="24"/>
      <x:c r="H177" s="20"/>
      <x:c r="I177" s="20"/>
      <x:c r="K177" s="22"/>
    </x:row>
    <x:row r="178">
      <x:c r="F178" s="20"/>
      <x:c r="G178" s="24"/>
      <x:c r="H178" s="20"/>
      <x:c r="I178" s="20"/>
      <x:c r="K178" s="22"/>
    </x:row>
    <x:row r="179">
      <x:c r="F179" s="20"/>
      <x:c r="G179" s="24"/>
      <x:c r="H179" s="20"/>
      <x:c r="I179" s="20"/>
      <x:c r="K179" s="22"/>
    </x:row>
    <x:row r="180">
      <x:c r="F180" s="20"/>
      <x:c r="G180" s="24"/>
      <x:c r="H180" s="20"/>
      <x:c r="I180" s="20"/>
      <x:c r="K180" s="22"/>
    </x:row>
    <x:row r="181">
      <x:c r="F181" s="20"/>
      <x:c r="G181" s="24"/>
      <x:c r="H181" s="20"/>
      <x:c r="I181" s="20"/>
      <x:c r="K181" s="22"/>
    </x:row>
    <x:row r="182">
      <x:c r="F182" s="20"/>
      <x:c r="G182" s="24"/>
      <x:c r="H182" s="20"/>
      <x:c r="I182" s="20"/>
      <x:c r="K182" s="22"/>
    </x:row>
    <x:row r="183">
      <x:c r="F183" s="20"/>
      <x:c r="G183" s="24"/>
      <x:c r="H183" s="20"/>
      <x:c r="I183" s="20"/>
      <x:c r="K183" s="22"/>
    </x:row>
    <x:row r="184">
      <x:c r="F184" s="20"/>
      <x:c r="G184" s="24"/>
      <x:c r="H184" s="20"/>
      <x:c r="I184" s="20"/>
      <x:c r="K184" s="22"/>
    </x:row>
    <x:row r="185">
      <x:c r="F185" s="20"/>
      <x:c r="G185" s="24"/>
      <x:c r="H185" s="20"/>
      <x:c r="I185" s="20"/>
      <x:c r="K185" s="22"/>
    </x:row>
    <x:row r="186">
      <x:c r="F186" s="20"/>
      <x:c r="G186" s="24"/>
      <x:c r="H186" s="20"/>
      <x:c r="I186" s="20"/>
      <x:c r="K186" s="22"/>
    </x:row>
    <x:row r="187">
      <x:c r="F187" s="20"/>
      <x:c r="G187" s="24"/>
      <x:c r="H187" s="20"/>
      <x:c r="I187" s="20"/>
      <x:c r="K187" s="22"/>
    </x:row>
    <x:row r="188">
      <x:c r="F188" s="20"/>
      <x:c r="G188" s="24"/>
      <x:c r="H188" s="20"/>
      <x:c r="I188" s="20"/>
      <x:c r="K188" s="22"/>
    </x:row>
    <x:row r="189">
      <x:c r="F189" s="20"/>
      <x:c r="G189" s="24"/>
      <x:c r="H189" s="20"/>
      <x:c r="I189" s="20"/>
      <x:c r="K189" s="22"/>
    </x:row>
    <x:row r="190">
      <x:c r="F190" s="20"/>
      <x:c r="G190" s="24"/>
      <x:c r="H190" s="20"/>
      <x:c r="I190" s="20"/>
      <x:c r="K190" s="22"/>
    </x:row>
    <x:row r="191">
      <x:c r="F191" s="20"/>
      <x:c r="G191" s="24"/>
      <x:c r="H191" s="20"/>
      <x:c r="I191" s="20"/>
      <x:c r="K191" s="22"/>
    </x:row>
    <x:row r="192">
      <x:c r="F192" s="20"/>
      <x:c r="G192" s="24"/>
      <x:c r="H192" s="20"/>
      <x:c r="I192" s="20"/>
      <x:c r="K192" s="22"/>
    </x:row>
    <x:row r="193">
      <x:c r="F193" s="20"/>
      <x:c r="G193" s="24"/>
      <x:c r="H193" s="20"/>
      <x:c r="I193" s="20"/>
      <x:c r="K193" s="22"/>
    </x:row>
    <x:row r="194">
      <x:c r="F194" s="20"/>
      <x:c r="G194" s="24"/>
      <x:c r="H194" s="20"/>
      <x:c r="I194" s="20"/>
      <x:c r="K194" s="22"/>
    </x:row>
    <x:row r="195">
      <x:c r="F195" s="20"/>
      <x:c r="G195" s="24"/>
      <x:c r="H195" s="20"/>
      <x:c r="I195" s="20"/>
      <x:c r="K195" s="22"/>
    </x:row>
    <x:row r="196">
      <x:c r="F196" s="20"/>
      <x:c r="G196" s="24"/>
      <x:c r="H196" s="20"/>
      <x:c r="I196" s="20"/>
      <x:c r="K196" s="22"/>
    </x:row>
    <x:row r="197">
      <x:c r="F197" s="20"/>
      <x:c r="G197" s="24"/>
      <x:c r="H197" s="20"/>
      <x:c r="I197" s="20"/>
      <x:c r="K197" s="22"/>
    </x:row>
    <x:row r="198">
      <x:c r="F198" s="20"/>
      <x:c r="G198" s="24"/>
      <x:c r="H198" s="20"/>
      <x:c r="I198" s="20"/>
      <x:c r="K198" s="22"/>
    </x:row>
    <x:row r="199">
      <x:c r="F199" s="20"/>
      <x:c r="G199" s="24"/>
      <x:c r="H199" s="20"/>
      <x:c r="I199" s="20"/>
      <x:c r="K199" s="22"/>
    </x:row>
    <x:row r="200">
      <x:c r="F200" s="20"/>
      <x:c r="G200" s="24"/>
      <x:c r="H200" s="20"/>
      <x:c r="I200" s="20"/>
      <x:c r="K200" s="22"/>
    </x:row>
  </x:sheetData>
  <x:conditionalFormatting sqref="I2:I200">
    <x:cfRule type="colorScale" priority="1">
      <x:colorScale>
        <x:cfvo type="min"/>
        <x:cfvo type="percentile" val="50"/>
        <x:cfvo type="max"/>
        <x:color rgb="FEE2E2"/>
        <x:color rgb="FEF3C7"/>
        <x:color rgb="DCFCE7"/>
      </x:colorScale>
    </x:cfRule>
  </x:conditionalFormatting>
  <x:conditionalFormatting sqref="O2:O200">
    <x:cfRule type="expression" dxfId="0" priority="2">
      <x:formula>$O2="VALUE BET"</x:formula>
    </x:cfRule>
    <x:cfRule type="expression" dxfId="1" priority="3">
      <x:formula>$O2="NO BET"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c2b2cb531ae4eb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6.329999923706055" hidden="0" customWidth="1"/>
    <x:col min="2" max="2" width="6.860000133514404" hidden="0" customWidth="1"/>
    <x:col min="3" max="3" width="12.520000457763672" hidden="0" customWidth="1"/>
    <x:col min="4" max="4" width="12.109999656677246" hidden="0" customWidth="1"/>
    <x:col min="5" max="5" width="8.479999542236328" hidden="0" customWidth="1"/>
    <x:col min="6" max="6" width="14" hidden="0" customWidth="1"/>
    <x:col min="7" max="7" width="16.81999969482422" hidden="0" customWidth="1"/>
    <x:col min="8" max="8" width="18.709999084472656" hidden="0" customWidth="1"/>
    <x:col min="9" max="9" width="7" hidden="0" customWidth="1"/>
    <x:col min="10" max="10" width="11.569999694824219" hidden="0" customWidth="1"/>
    <x:col min="11" max="11" width="16.020000457763672" hidden="0" customWidth="1"/>
    <x:col min="12" max="12" width="10.229999542236328" hidden="0" customWidth="1"/>
    <x:col min="13" max="13" width="9.6899995803833" hidden="0" customWidth="1"/>
    <x:col min="14" max="14" width="11.569999694824219" hidden="0" customWidth="1"/>
    <x:col min="15" max="15" width="9.420000076293945" hidden="0" customWidth="1"/>
  </x:cols>
  <x:sheetData>
    <x:row r="1">
      <x:c r="A1" s="14" t="str">
        <x:v>date</x:v>
      </x:c>
      <x:c r="B1" s="14" t="str">
        <x:v>sport</x:v>
      </x:c>
      <x:c r="C1" s="14" t="str">
        <x:v>home_team</x:v>
      </x:c>
      <x:c r="D1" s="14" t="str">
        <x:v>away_team</x:v>
      </x:c>
      <x:c r="E1" s="14" t="str">
        <x:v>market</x:v>
      </x:c>
      <x:c r="F1" s="14" t="str">
        <x:v>ai_probability</x:v>
      </x:c>
      <x:c r="G1" s="14" t="str">
        <x:v>bookmaker_odds</x:v>
      </x:c>
      <x:c r="H1" s="14" t="str">
        <x:v>implied_probability</x:v>
      </x:c>
      <x:c r="I1" s="14" t="str">
        <x:v>value</x:v>
      </x:c>
      <x:c r="J1" s="14" t="str">
        <x:v>confidence</x:v>
      </x:c>
      <x:c r="K1" s="14" t="str">
        <x:v>suggested_stake</x:v>
      </x:c>
      <x:c r="L1" s="14" t="str">
        <x:v>home_xg</x:v>
      </x:c>
      <x:c r="M1" s="14" t="str">
        <x:v>away_xg</x:v>
      </x:c>
      <x:c r="N1" s="14" t="str">
        <x:v>top_scores</x:v>
      </x:c>
      <x:c r="O1" s="14" t="str">
        <x:v>decision</x:v>
      </x:c>
    </x:row>
    <x:row r="2">
      <x:c r="A2" t="str"/>
      <x:c r="B2" t="str"/>
      <x:c r="C2" t="str"/>
      <x:c r="D2" t="str"/>
      <x:c r="E2" t="str"/>
      <x:c r="F2" t="str"/>
      <x:c r="G2" t="str"/>
      <x:c r="H2" t="str"/>
      <x:c r="I2" t="str"/>
      <x:c r="J2" t="str"/>
      <x:c r="K2" t="str"/>
      <x:c r="L2" t="str"/>
      <x:c r="M2" t="str"/>
      <x:c r="N2" t="str"/>
      <x:c r="O2" t="str"/>
    </x:row>
  </x:sheetData>
  <x:pageMargins left="0.7" right="0.7" top="0.75" bottom="0.75" header="0.3" footer="0.3"/>
  <x:tableParts count="1">
    <x:tablePart xmlns:r="http://schemas.openxmlformats.org/officeDocument/2006/relationships" r:id="R9de71e276190460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41.86000061035156" hidden="0" customWidth="1"/>
    <x:col min="2" max="2" width="21.670000076293945" hidden="0" customWidth="1"/>
  </x:cols>
  <x:sheetData>
    <x:row r="1">
      <x:c r="A1" s="26" t="str">
        <x:v>GESTION BANKROLL - QUART KELLY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</x:row>
    <x:row r="2">
      <x:c r="A2" s="14" t="str">
        <x:v>Bankroll actuelle</x:v>
      </x:c>
      <x:c r="B2" s="22" t="n">
        <x:v>100</x:v>
      </x:c>
    </x:row>
    <x:row r="3">
      <x:c r="A3" s="14" t="str">
        <x:v>Mise max %</x:v>
      </x:c>
      <x:c r="B3" s="20" t="n">
        <x:v>0.03</x:v>
      </x:c>
    </x:row>
    <x:row r="4">
      <x:c r="A4" s="14" t="str">
        <x:v>Min value</x:v>
      </x:c>
      <x:c r="B4" s="20" t="n">
        <x:v>0.03</x:v>
      </x:c>
    </x:row>
    <x:row r="5">
      <x:c r="A5" s="14" t="str">
        <x:v>Min confidence</x:v>
      </x:c>
      <x:c r="B5" s="20" t="n">
        <x:v>0.58</x:v>
      </x:c>
    </x:row>
    <x:row r="6">
      <x:c r="A6" s="14" t="str">
        <x:v>Drawdown actuel</x:v>
      </x:c>
      <x:c r="B6" s="20" t="n">
        <x:f>IFERROR((MAX(Historique_ROI!I:I)-B2)/MAX(Historique_ROI!I:I),0)</x:f>
        <x:v>0</x:v>
      </x:c>
    </x:row>
    <x:row r="7">
      <x:c r="A7" s="14" t="str">
        <x:v>Règle</x:v>
      </x:c>
      <x:c r="B7" t="str">
        <x:v>Ne jamais all-in / max 1-3%</x:v>
      </x:c>
    </x:row>
    <x:row r="8">
      <x:c r="A8" s="14" t="str">
        <x:v>Dernière MAJ</x:v>
      </x:c>
      <x:c r="B8" t="str">
        <x:v>2026-05-20</x:v>
      </x:c>
    </x:row>
  </x:sheetData>
  <x:mergeCells>
    <x:mergeCell ref="A1:D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6.329999923706055" hidden="0" customWidth="1"/>
    <x:col min="2" max="2" width="6.860000133514404" hidden="0" customWidth="1"/>
    <x:col min="3" max="3" width="7.670000076293945" hidden="0" customWidth="1"/>
    <x:col min="4" max="4" width="8.479999542236328" hidden="0" customWidth="1"/>
    <x:col min="5" max="5" width="6.590000152587891" hidden="0" customWidth="1"/>
    <x:col min="6" max="6" width="6.860000133514404" hidden="0" customWidth="1"/>
    <x:col min="7" max="7" width="11.3100004196167" hidden="0" customWidth="1"/>
    <x:col min="8" max="8" width="4.849999904632568" hidden="0" customWidth="1"/>
    <x:col min="9" max="9" width="14.270000457763672" hidden="0" customWidth="1"/>
    <x:col min="10" max="10" width="7.130000114440918" hidden="0" customWidth="1"/>
  </x:cols>
  <x:sheetData>
    <x:row r="1">
      <x:c r="A1" s="14" t="str">
        <x:v>date</x:v>
      </x:c>
      <x:c r="B1" s="14" t="str">
        <x:v>sport</x:v>
      </x:c>
      <x:c r="C1" s="14" t="str">
        <x:v>match</x:v>
      </x:c>
      <x:c r="D1" s="14" t="str">
        <x:v>market</x:v>
      </x:c>
      <x:c r="E1" s="14" t="str">
        <x:v>odds</x:v>
      </x:c>
      <x:c r="F1" s="14" t="str">
        <x:v>stake</x:v>
      </x:c>
      <x:c r="G1" s="14" t="str">
        <x:v>profit_loss</x:v>
      </x:c>
      <x:c r="H1" s="14" t="str">
        <x:v>roi</x:v>
      </x:c>
      <x:c r="I1" s="14" t="str">
        <x:v>bankroll_after</x:v>
      </x:c>
      <x:c r="J1" s="14" t="str">
        <x:v>notes</x:v>
      </x:c>
      <x:c r="K1" s="27"/>
      <x:c r="L1" s="27"/>
      <x:c r="M1" s="27"/>
      <x:c r="N1" s="27"/>
      <x:c r="O1" s="27"/>
    </x:row>
    <x:row r="2">
      <x:c r="A2" t="str"/>
      <x:c r="B2" t="str"/>
      <x:c r="C2" t="str"/>
      <x:c r="D2" t="str"/>
      <x:c r="E2" t="str"/>
      <x:c r="F2" s="22" t="str"/>
      <x:c r="G2" s="22" t="str"/>
      <x:c r="H2" s="20" t="n">
        <x:f>IFERROR(G2/F2,0)</x:f>
        <x:v>0</x:v>
      </x:c>
      <x:c r="I2" s="22" t="n">
        <x:f>IF(ROW()=2,Bankroll!$B$2+G2,I1+G2)</x:f>
        <x:v>100</x:v>
      </x:c>
      <x:c r="J2" t="str"/>
    </x:row>
    <x:row r="3">
      <x:c r="A3" t="str"/>
      <x:c r="B3" t="str"/>
      <x:c r="C3" t="str"/>
      <x:c r="D3" t="str"/>
      <x:c r="E3" t="str"/>
      <x:c r="F3" s="22" t="str"/>
      <x:c r="G3" s="22" t="str"/>
      <x:c r="H3" s="20" t="n">
        <x:f>IFERROR(G3/F3,0)</x:f>
        <x:v>0</x:v>
      </x:c>
      <x:c r="I3" s="22" t="n">
        <x:f>IF(ROW()=2,Bankroll!$B$2+G3,I2+G3)</x:f>
        <x:v>100</x:v>
      </x:c>
      <x:c r="J3" t="str"/>
    </x:row>
    <x:row r="4">
      <x:c r="A4" t="str"/>
      <x:c r="B4" t="str"/>
      <x:c r="C4" t="str"/>
      <x:c r="D4" t="str"/>
      <x:c r="E4" t="str"/>
      <x:c r="F4" s="22" t="str"/>
      <x:c r="G4" s="22" t="str"/>
      <x:c r="H4" s="20" t="n">
        <x:f>IFERROR(G4/F4,0)</x:f>
        <x:v>0</x:v>
      </x:c>
      <x:c r="I4" s="22" t="n">
        <x:f>IF(ROW()=2,Bankroll!$B$2+G4,I3+G4)</x:f>
        <x:v>100</x:v>
      </x:c>
      <x:c r="J4" t="str"/>
    </x:row>
    <x:row r="5">
      <x:c r="A5" t="str"/>
      <x:c r="B5" t="str"/>
      <x:c r="C5" t="str"/>
      <x:c r="D5" t="str"/>
      <x:c r="E5" t="str"/>
      <x:c r="F5" s="22" t="str"/>
      <x:c r="G5" s="22" t="str"/>
      <x:c r="H5" s="20" t="n">
        <x:f>IFERROR(G5/F5,0)</x:f>
        <x:v>0</x:v>
      </x:c>
      <x:c r="I5" s="22" t="n">
        <x:f>IF(ROW()=2,Bankroll!$B$2+G5,I4+G5)</x:f>
        <x:v>100</x:v>
      </x:c>
      <x:c r="J5" t="str"/>
    </x:row>
    <x:row r="6">
      <x:c r="A6" t="str"/>
      <x:c r="B6" t="str"/>
      <x:c r="C6" t="str"/>
      <x:c r="D6" t="str"/>
      <x:c r="E6" t="str"/>
      <x:c r="F6" s="22" t="str"/>
      <x:c r="G6" s="22" t="str"/>
      <x:c r="H6" s="20" t="n">
        <x:f>IFERROR(G6/F6,0)</x:f>
        <x:v>0</x:v>
      </x:c>
      <x:c r="I6" s="22" t="n">
        <x:f>IF(ROW()=2,Bankroll!$B$2+G6,I5+G6)</x:f>
        <x:v>100</x:v>
      </x:c>
      <x:c r="J6" t="str"/>
    </x:row>
    <x:row r="7">
      <x:c r="A7" t="str"/>
      <x:c r="B7" t="str"/>
      <x:c r="C7" t="str"/>
      <x:c r="D7" t="str"/>
      <x:c r="E7" t="str"/>
      <x:c r="F7" s="22" t="str"/>
      <x:c r="G7" s="22" t="str"/>
      <x:c r="H7" s="20" t="n">
        <x:f>IFERROR(G7/F7,0)</x:f>
        <x:v>0</x:v>
      </x:c>
      <x:c r="I7" s="22" t="n">
        <x:f>IF(ROW()=2,Bankroll!$B$2+G7,I6+G7)</x:f>
        <x:v>100</x:v>
      </x:c>
      <x:c r="J7" t="str"/>
    </x:row>
    <x:row r="8">
      <x:c r="A8" t="str"/>
      <x:c r="B8" t="str"/>
      <x:c r="C8" t="str"/>
      <x:c r="D8" t="str"/>
      <x:c r="E8" t="str"/>
      <x:c r="F8" s="22" t="str"/>
      <x:c r="G8" s="22" t="str"/>
      <x:c r="H8" s="20" t="n">
        <x:f>IFERROR(G8/F8,0)</x:f>
        <x:v>0</x:v>
      </x:c>
      <x:c r="I8" s="22" t="n">
        <x:f>IF(ROW()=2,Bankroll!$B$2+G8,I7+G8)</x:f>
        <x:v>100</x:v>
      </x:c>
      <x:c r="J8" t="str"/>
    </x:row>
    <x:row r="9">
      <x:c r="A9" t="str"/>
      <x:c r="B9" t="str"/>
      <x:c r="C9" t="str"/>
      <x:c r="D9" t="str"/>
      <x:c r="E9" t="str"/>
      <x:c r="F9" s="22" t="str"/>
      <x:c r="G9" s="22" t="str"/>
      <x:c r="H9" s="20" t="n">
        <x:f>IFERROR(G9/F9,0)</x:f>
        <x:v>0</x:v>
      </x:c>
      <x:c r="I9" s="22" t="n">
        <x:f>IF(ROW()=2,Bankroll!$B$2+G9,I8+G9)</x:f>
        <x:v>100</x:v>
      </x:c>
      <x:c r="J9" t="str"/>
    </x:row>
    <x:row r="10">
      <x:c r="A10" t="str"/>
      <x:c r="B10" t="str"/>
      <x:c r="C10" t="str"/>
      <x:c r="D10" t="str"/>
      <x:c r="E10" t="str"/>
      <x:c r="F10" s="22" t="str"/>
      <x:c r="G10" s="22" t="str"/>
      <x:c r="H10" s="20" t="n">
        <x:f>IFERROR(G10/F10,0)</x:f>
        <x:v>0</x:v>
      </x:c>
      <x:c r="I10" s="22" t="n">
        <x:f>IF(ROW()=2,Bankroll!$B$2+G10,I9+G10)</x:f>
        <x:v>100</x:v>
      </x:c>
      <x:c r="J10" t="str"/>
    </x:row>
    <x:row r="11">
      <x:c r="A11" t="str"/>
      <x:c r="B11" t="str"/>
      <x:c r="C11" t="str"/>
      <x:c r="D11" t="str"/>
      <x:c r="E11" t="str"/>
      <x:c r="F11" s="22" t="str"/>
      <x:c r="G11" s="22" t="str"/>
      <x:c r="H11" s="20" t="n">
        <x:f>IFERROR(G11/F11,0)</x:f>
        <x:v>0</x:v>
      </x:c>
      <x:c r="I11" s="22" t="n">
        <x:f>IF(ROW()=2,Bankroll!$B$2+G11,I10+G11)</x:f>
        <x:v>100</x:v>
      </x:c>
      <x:c r="J11" t="str"/>
    </x:row>
    <x:row r="12">
      <x:c r="A12" t="str"/>
      <x:c r="B12" t="str"/>
      <x:c r="C12" t="str"/>
      <x:c r="D12" t="str"/>
      <x:c r="E12" t="str"/>
      <x:c r="F12" s="22" t="str"/>
      <x:c r="G12" s="22" t="str"/>
      <x:c r="H12" s="20" t="n">
        <x:f>IFERROR(G12/F12,0)</x:f>
        <x:v>0</x:v>
      </x:c>
      <x:c r="I12" s="22" t="n">
        <x:f>IF(ROW()=2,Bankroll!$B$2+G12,I11+G12)</x:f>
        <x:v>100</x:v>
      </x:c>
      <x:c r="J12" t="str"/>
    </x:row>
    <x:row r="13">
      <x:c r="A13" t="str"/>
      <x:c r="B13" t="str"/>
      <x:c r="C13" t="str"/>
      <x:c r="D13" t="str"/>
      <x:c r="E13" t="str"/>
      <x:c r="F13" s="22" t="str"/>
      <x:c r="G13" s="22" t="str"/>
      <x:c r="H13" s="20" t="n">
        <x:f>IFERROR(G13/F13,0)</x:f>
        <x:v>0</x:v>
      </x:c>
      <x:c r="I13" s="22" t="n">
        <x:f>IF(ROW()=2,Bankroll!$B$2+G13,I12+G13)</x:f>
        <x:v>100</x:v>
      </x:c>
      <x:c r="J13" t="str"/>
    </x:row>
    <x:row r="14">
      <x:c r="A14" t="str"/>
      <x:c r="B14" t="str"/>
      <x:c r="C14" t="str"/>
      <x:c r="D14" t="str"/>
      <x:c r="E14" t="str"/>
      <x:c r="F14" s="22" t="str"/>
      <x:c r="G14" s="22" t="str"/>
      <x:c r="H14" s="20" t="n">
        <x:f>IFERROR(G14/F14,0)</x:f>
        <x:v>0</x:v>
      </x:c>
      <x:c r="I14" s="22" t="n">
        <x:f>IF(ROW()=2,Bankroll!$B$2+G14,I13+G14)</x:f>
        <x:v>100</x:v>
      </x:c>
      <x:c r="J14" t="str"/>
    </x:row>
    <x:row r="15">
      <x:c r="A15" t="str"/>
      <x:c r="B15" t="str"/>
      <x:c r="C15" t="str"/>
      <x:c r="D15" t="str"/>
      <x:c r="E15" t="str"/>
      <x:c r="F15" s="22" t="str"/>
      <x:c r="G15" s="22" t="str"/>
      <x:c r="H15" s="20" t="n">
        <x:f>IFERROR(G15/F15,0)</x:f>
        <x:v>0</x:v>
      </x:c>
      <x:c r="I15" s="22" t="n">
        <x:f>IF(ROW()=2,Bankroll!$B$2+G15,I14+G15)</x:f>
        <x:v>100</x:v>
      </x:c>
      <x:c r="J15" t="str"/>
    </x:row>
    <x:row r="16">
      <x:c r="A16" t="str"/>
      <x:c r="B16" t="str"/>
      <x:c r="C16" t="str"/>
      <x:c r="D16" t="str"/>
      <x:c r="E16" t="str"/>
      <x:c r="F16" s="22" t="str"/>
      <x:c r="G16" s="22" t="str"/>
      <x:c r="H16" s="20" t="n">
        <x:f>IFERROR(G16/F16,0)</x:f>
        <x:v>0</x:v>
      </x:c>
      <x:c r="I16" s="22" t="n">
        <x:f>IF(ROW()=2,Bankroll!$B$2+G16,I15+G16)</x:f>
        <x:v>100</x:v>
      </x:c>
      <x:c r="J16" t="str"/>
    </x:row>
    <x:row r="17">
      <x:c r="A17" t="str"/>
      <x:c r="B17" t="str"/>
      <x:c r="C17" t="str"/>
      <x:c r="D17" t="str"/>
      <x:c r="E17" t="str"/>
      <x:c r="F17" s="22" t="str"/>
      <x:c r="G17" s="22" t="str"/>
      <x:c r="H17" s="20" t="n">
        <x:f>IFERROR(G17/F17,0)</x:f>
        <x:v>0</x:v>
      </x:c>
      <x:c r="I17" s="22" t="n">
        <x:f>IF(ROW()=2,Bankroll!$B$2+G17,I16+G17)</x:f>
        <x:v>100</x:v>
      </x:c>
      <x:c r="J17" t="str"/>
    </x:row>
    <x:row r="18">
      <x:c r="A18" t="str"/>
      <x:c r="B18" t="str"/>
      <x:c r="C18" t="str"/>
      <x:c r="D18" t="str"/>
      <x:c r="E18" t="str"/>
      <x:c r="F18" s="22" t="str"/>
      <x:c r="G18" s="22" t="str"/>
      <x:c r="H18" s="20" t="n">
        <x:f>IFERROR(G18/F18,0)</x:f>
        <x:v>0</x:v>
      </x:c>
      <x:c r="I18" s="22" t="n">
        <x:f>IF(ROW()=2,Bankroll!$B$2+G18,I17+G18)</x:f>
        <x:v>100</x:v>
      </x:c>
      <x:c r="J18" t="str"/>
    </x:row>
    <x:row r="19">
      <x:c r="A19" t="str"/>
      <x:c r="B19" t="str"/>
      <x:c r="C19" t="str"/>
      <x:c r="D19" t="str"/>
      <x:c r="E19" t="str"/>
      <x:c r="F19" s="22" t="str"/>
      <x:c r="G19" s="22" t="str"/>
      <x:c r="H19" s="20" t="n">
        <x:f>IFERROR(G19/F19,0)</x:f>
        <x:v>0</x:v>
      </x:c>
      <x:c r="I19" s="22" t="n">
        <x:f>IF(ROW()=2,Bankroll!$B$2+G19,I18+G19)</x:f>
        <x:v>100</x:v>
      </x:c>
      <x:c r="J19" t="str"/>
    </x:row>
    <x:row r="20">
      <x:c r="A20" t="str"/>
      <x:c r="B20" t="str"/>
      <x:c r="C20" t="str"/>
      <x:c r="D20" t="str"/>
      <x:c r="E20" t="str"/>
      <x:c r="F20" s="22" t="str"/>
      <x:c r="G20" s="22" t="str"/>
      <x:c r="H20" s="20" t="n">
        <x:f>IFERROR(G20/F20,0)</x:f>
        <x:v>0</x:v>
      </x:c>
      <x:c r="I20" s="22" t="n">
        <x:f>IF(ROW()=2,Bankroll!$B$2+G20,I19+G20)</x:f>
        <x:v>100</x:v>
      </x:c>
      <x:c r="J20" t="str"/>
    </x:row>
    <x:row r="21">
      <x:c r="A21" t="str"/>
      <x:c r="B21" t="str"/>
      <x:c r="C21" t="str"/>
      <x:c r="D21" t="str"/>
      <x:c r="E21" t="str"/>
      <x:c r="F21" s="22" t="str"/>
      <x:c r="G21" s="22" t="str"/>
      <x:c r="H21" s="20" t="n">
        <x:f>IFERROR(G21/F21,0)</x:f>
        <x:v>0</x:v>
      </x:c>
      <x:c r="I21" s="22" t="n">
        <x:f>IF(ROW()=2,Bankroll!$B$2+G21,I20+G21)</x:f>
        <x:v>100</x:v>
      </x:c>
      <x:c r="J21" t="str"/>
    </x:row>
    <x:row r="22">
      <x:c r="A22" t="str"/>
      <x:c r="B22" t="str"/>
      <x:c r="C22" t="str"/>
      <x:c r="D22" t="str"/>
      <x:c r="E22" t="str"/>
      <x:c r="F22" s="22" t="str"/>
      <x:c r="G22" s="22" t="str"/>
      <x:c r="H22" s="20" t="n">
        <x:f>IFERROR(G22/F22,0)</x:f>
        <x:v>0</x:v>
      </x:c>
      <x:c r="I22" s="22" t="n">
        <x:f>IF(ROW()=2,Bankroll!$B$2+G22,I21+G22)</x:f>
        <x:v>100</x:v>
      </x:c>
      <x:c r="J22" t="str"/>
    </x:row>
    <x:row r="23">
      <x:c r="A23" t="str"/>
      <x:c r="B23" t="str"/>
      <x:c r="C23" t="str"/>
      <x:c r="D23" t="str"/>
      <x:c r="E23" t="str"/>
      <x:c r="F23" s="22" t="str"/>
      <x:c r="G23" s="22" t="str"/>
      <x:c r="H23" s="20" t="n">
        <x:f>IFERROR(G23/F23,0)</x:f>
        <x:v>0</x:v>
      </x:c>
      <x:c r="I23" s="22" t="n">
        <x:f>IF(ROW()=2,Bankroll!$B$2+G23,I22+G23)</x:f>
        <x:v>100</x:v>
      </x:c>
      <x:c r="J23" t="str"/>
    </x:row>
    <x:row r="24">
      <x:c r="A24" t="str"/>
      <x:c r="B24" t="str"/>
      <x:c r="C24" t="str"/>
      <x:c r="D24" t="str"/>
      <x:c r="E24" t="str"/>
      <x:c r="F24" s="22" t="str"/>
      <x:c r="G24" s="22" t="str"/>
      <x:c r="H24" s="20" t="n">
        <x:f>IFERROR(G24/F24,0)</x:f>
        <x:v>0</x:v>
      </x:c>
      <x:c r="I24" s="22" t="n">
        <x:f>IF(ROW()=2,Bankroll!$B$2+G24,I23+G24)</x:f>
        <x:v>100</x:v>
      </x:c>
      <x:c r="J24" t="str"/>
    </x:row>
    <x:row r="25">
      <x:c r="A25" t="str"/>
      <x:c r="B25" t="str"/>
      <x:c r="C25" t="str"/>
      <x:c r="D25" t="str"/>
      <x:c r="E25" t="str"/>
      <x:c r="F25" s="22" t="str"/>
      <x:c r="G25" s="22" t="str"/>
      <x:c r="H25" s="20" t="n">
        <x:f>IFERROR(G25/F25,0)</x:f>
        <x:v>0</x:v>
      </x:c>
      <x:c r="I25" s="22" t="n">
        <x:f>IF(ROW()=2,Bankroll!$B$2+G25,I24+G25)</x:f>
        <x:v>100</x:v>
      </x:c>
      <x:c r="J25" t="str"/>
    </x:row>
    <x:row r="26">
      <x:c r="A26" t="str"/>
      <x:c r="B26" t="str"/>
      <x:c r="C26" t="str"/>
      <x:c r="D26" t="str"/>
      <x:c r="E26" t="str"/>
      <x:c r="F26" s="22" t="str"/>
      <x:c r="G26" s="22" t="str"/>
      <x:c r="H26" s="20" t="n">
        <x:f>IFERROR(G26/F26,0)</x:f>
        <x:v>0</x:v>
      </x:c>
      <x:c r="I26" s="22" t="n">
        <x:f>IF(ROW()=2,Bankroll!$B$2+G26,I25+G26)</x:f>
        <x:v>100</x:v>
      </x:c>
      <x:c r="J26" t="str"/>
    </x:row>
    <x:row r="27">
      <x:c r="A27" t="str"/>
      <x:c r="B27" t="str"/>
      <x:c r="C27" t="str"/>
      <x:c r="D27" t="str"/>
      <x:c r="E27" t="str"/>
      <x:c r="F27" s="22" t="str"/>
      <x:c r="G27" s="22" t="str"/>
      <x:c r="H27" s="20" t="n">
        <x:f>IFERROR(G27/F27,0)</x:f>
        <x:v>0</x:v>
      </x:c>
      <x:c r="I27" s="22" t="n">
        <x:f>IF(ROW()=2,Bankroll!$B$2+G27,I26+G27)</x:f>
        <x:v>100</x:v>
      </x:c>
      <x:c r="J27" t="str"/>
    </x:row>
    <x:row r="28">
      <x:c r="A28" t="str"/>
      <x:c r="B28" t="str"/>
      <x:c r="C28" t="str"/>
      <x:c r="D28" t="str"/>
      <x:c r="E28" t="str"/>
      <x:c r="F28" s="22" t="str"/>
      <x:c r="G28" s="22" t="str"/>
      <x:c r="H28" s="20" t="n">
        <x:f>IFERROR(G28/F28,0)</x:f>
        <x:v>0</x:v>
      </x:c>
      <x:c r="I28" s="22" t="n">
        <x:f>IF(ROW()=2,Bankroll!$B$2+G28,I27+G28)</x:f>
        <x:v>100</x:v>
      </x:c>
      <x:c r="J28" t="str"/>
    </x:row>
    <x:row r="29">
      <x:c r="A29" t="str"/>
      <x:c r="B29" t="str"/>
      <x:c r="C29" t="str"/>
      <x:c r="D29" t="str"/>
      <x:c r="E29" t="str"/>
      <x:c r="F29" s="22" t="str"/>
      <x:c r="G29" s="22" t="str"/>
      <x:c r="H29" s="20" t="n">
        <x:f>IFERROR(G29/F29,0)</x:f>
        <x:v>0</x:v>
      </x:c>
      <x:c r="I29" s="22" t="n">
        <x:f>IF(ROW()=2,Bankroll!$B$2+G29,I28+G29)</x:f>
        <x:v>100</x:v>
      </x:c>
      <x:c r="J29" t="str"/>
    </x:row>
    <x:row r="30">
      <x:c r="A30" t="str"/>
      <x:c r="B30" t="str"/>
      <x:c r="C30" t="str"/>
      <x:c r="D30" t="str"/>
      <x:c r="E30" t="str"/>
      <x:c r="F30" s="22" t="str"/>
      <x:c r="G30" s="22" t="str"/>
      <x:c r="H30" s="20" t="n">
        <x:f>IFERROR(G30/F30,0)</x:f>
        <x:v>0</x:v>
      </x:c>
      <x:c r="I30" s="22" t="n">
        <x:f>IF(ROW()=2,Bankroll!$B$2+G30,I29+G30)</x:f>
        <x:v>100</x:v>
      </x:c>
      <x:c r="J30" t="str"/>
    </x:row>
    <x:row r="31">
      <x:c r="A31" t="str"/>
      <x:c r="B31" t="str"/>
      <x:c r="C31" t="str"/>
      <x:c r="D31" t="str"/>
      <x:c r="E31" t="str"/>
      <x:c r="F31" s="22" t="str"/>
      <x:c r="G31" s="22" t="str"/>
      <x:c r="H31" s="20" t="n">
        <x:f>IFERROR(G31/F31,0)</x:f>
        <x:v>0</x:v>
      </x:c>
      <x:c r="I31" s="22" t="n">
        <x:f>IF(ROW()=2,Bankroll!$B$2+G31,I30+G31)</x:f>
        <x:v>100</x:v>
      </x:c>
      <x:c r="J31" t="str"/>
    </x:row>
    <x:row r="32">
      <x:c r="A32" t="str"/>
      <x:c r="B32" t="str"/>
      <x:c r="C32" t="str"/>
      <x:c r="D32" t="str"/>
      <x:c r="E32" t="str"/>
      <x:c r="F32" s="22" t="str"/>
      <x:c r="G32" s="22" t="str"/>
      <x:c r="H32" s="20" t="n">
        <x:f>IFERROR(G32/F32,0)</x:f>
        <x:v>0</x:v>
      </x:c>
      <x:c r="I32" s="22" t="n">
        <x:f>IF(ROW()=2,Bankroll!$B$2+G32,I31+G32)</x:f>
        <x:v>100</x:v>
      </x:c>
      <x:c r="J32" t="str"/>
    </x:row>
    <x:row r="33">
      <x:c r="A33" t="str"/>
      <x:c r="B33" t="str"/>
      <x:c r="C33" t="str"/>
      <x:c r="D33" t="str"/>
      <x:c r="E33" t="str"/>
      <x:c r="F33" s="22" t="str"/>
      <x:c r="G33" s="22" t="str"/>
      <x:c r="H33" s="20" t="n">
        <x:f>IFERROR(G33/F33,0)</x:f>
        <x:v>0</x:v>
      </x:c>
      <x:c r="I33" s="22" t="n">
        <x:f>IF(ROW()=2,Bankroll!$B$2+G33,I32+G33)</x:f>
        <x:v>100</x:v>
      </x:c>
      <x:c r="J33" t="str"/>
    </x:row>
    <x:row r="34">
      <x:c r="A34" t="str"/>
      <x:c r="B34" t="str"/>
      <x:c r="C34" t="str"/>
      <x:c r="D34" t="str"/>
      <x:c r="E34" t="str"/>
      <x:c r="F34" s="22" t="str"/>
      <x:c r="G34" s="22" t="str"/>
      <x:c r="H34" s="20" t="n">
        <x:f>IFERROR(G34/F34,0)</x:f>
        <x:v>0</x:v>
      </x:c>
      <x:c r="I34" s="22" t="n">
        <x:f>IF(ROW()=2,Bankroll!$B$2+G34,I33+G34)</x:f>
        <x:v>100</x:v>
      </x:c>
      <x:c r="J34" t="str"/>
    </x:row>
    <x:row r="35">
      <x:c r="A35" t="str"/>
      <x:c r="B35" t="str"/>
      <x:c r="C35" t="str"/>
      <x:c r="D35" t="str"/>
      <x:c r="E35" t="str"/>
      <x:c r="F35" s="22" t="str"/>
      <x:c r="G35" s="22" t="str"/>
      <x:c r="H35" s="20" t="n">
        <x:f>IFERROR(G35/F35,0)</x:f>
        <x:v>0</x:v>
      </x:c>
      <x:c r="I35" s="22" t="n">
        <x:f>IF(ROW()=2,Bankroll!$B$2+G35,I34+G35)</x:f>
        <x:v>100</x:v>
      </x:c>
      <x:c r="J35" t="str"/>
    </x:row>
    <x:row r="36">
      <x:c r="A36" t="str"/>
      <x:c r="B36" t="str"/>
      <x:c r="C36" t="str"/>
      <x:c r="D36" t="str"/>
      <x:c r="E36" t="str"/>
      <x:c r="F36" s="22" t="str"/>
      <x:c r="G36" s="22" t="str"/>
      <x:c r="H36" s="20" t="n">
        <x:f>IFERROR(G36/F36,0)</x:f>
        <x:v>0</x:v>
      </x:c>
      <x:c r="I36" s="22" t="n">
        <x:f>IF(ROW()=2,Bankroll!$B$2+G36,I35+G36)</x:f>
        <x:v>100</x:v>
      </x:c>
      <x:c r="J36" t="str"/>
    </x:row>
    <x:row r="37">
      <x:c r="A37" t="str"/>
      <x:c r="B37" t="str"/>
      <x:c r="C37" t="str"/>
      <x:c r="D37" t="str"/>
      <x:c r="E37" t="str"/>
      <x:c r="F37" s="22" t="str"/>
      <x:c r="G37" s="22" t="str"/>
      <x:c r="H37" s="20" t="n">
        <x:f>IFERROR(G37/F37,0)</x:f>
        <x:v>0</x:v>
      </x:c>
      <x:c r="I37" s="22" t="n">
        <x:f>IF(ROW()=2,Bankroll!$B$2+G37,I36+G37)</x:f>
        <x:v>100</x:v>
      </x:c>
      <x:c r="J37" t="str"/>
    </x:row>
    <x:row r="38">
      <x:c r="A38" t="str"/>
      <x:c r="B38" t="str"/>
      <x:c r="C38" t="str"/>
      <x:c r="D38" t="str"/>
      <x:c r="E38" t="str"/>
      <x:c r="F38" s="22" t="str"/>
      <x:c r="G38" s="22" t="str"/>
      <x:c r="H38" s="20" t="n">
        <x:f>IFERROR(G38/F38,0)</x:f>
        <x:v>0</x:v>
      </x:c>
      <x:c r="I38" s="22" t="n">
        <x:f>IF(ROW()=2,Bankroll!$B$2+G38,I37+G38)</x:f>
        <x:v>100</x:v>
      </x:c>
      <x:c r="J38" t="str"/>
    </x:row>
    <x:row r="39">
      <x:c r="A39" t="str"/>
      <x:c r="B39" t="str"/>
      <x:c r="C39" t="str"/>
      <x:c r="D39" t="str"/>
      <x:c r="E39" t="str"/>
      <x:c r="F39" s="22" t="str"/>
      <x:c r="G39" s="22" t="str"/>
      <x:c r="H39" s="20" t="n">
        <x:f>IFERROR(G39/F39,0)</x:f>
        <x:v>0</x:v>
      </x:c>
      <x:c r="I39" s="22" t="n">
        <x:f>IF(ROW()=2,Bankroll!$B$2+G39,I38+G39)</x:f>
        <x:v>100</x:v>
      </x:c>
      <x:c r="J39" t="str"/>
    </x:row>
    <x:row r="40">
      <x:c r="A40" t="str"/>
      <x:c r="B40" t="str"/>
      <x:c r="C40" t="str"/>
      <x:c r="D40" t="str"/>
      <x:c r="E40" t="str"/>
      <x:c r="F40" s="22" t="str"/>
      <x:c r="G40" s="22" t="str"/>
      <x:c r="H40" s="20" t="n">
        <x:f>IFERROR(G40/F40,0)</x:f>
        <x:v>0</x:v>
      </x:c>
      <x:c r="I40" s="22" t="n">
        <x:f>IF(ROW()=2,Bankroll!$B$2+G40,I39+G40)</x:f>
        <x:v>100</x:v>
      </x:c>
      <x:c r="J40" t="str"/>
    </x:row>
    <x:row r="41">
      <x:c r="A41" t="str"/>
      <x:c r="B41" t="str"/>
      <x:c r="C41" t="str"/>
      <x:c r="D41" t="str"/>
      <x:c r="E41" t="str"/>
      <x:c r="F41" s="22" t="str"/>
      <x:c r="G41" s="22" t="str"/>
      <x:c r="H41" s="20" t="n">
        <x:f>IFERROR(G41/F41,0)</x:f>
        <x:v>0</x:v>
      </x:c>
      <x:c r="I41" s="22" t="n">
        <x:f>IF(ROW()=2,Bankroll!$B$2+G41,I40+G41)</x:f>
        <x:v>100</x:v>
      </x:c>
      <x:c r="J41" t="str"/>
    </x:row>
    <x:row r="42">
      <x:c r="A42" t="str"/>
      <x:c r="B42" t="str"/>
      <x:c r="C42" t="str"/>
      <x:c r="D42" t="str"/>
      <x:c r="E42" t="str"/>
      <x:c r="F42" s="22" t="str"/>
      <x:c r="G42" s="22" t="str"/>
      <x:c r="H42" s="20" t="n">
        <x:f>IFERROR(G42/F42,0)</x:f>
        <x:v>0</x:v>
      </x:c>
      <x:c r="I42" s="22" t="n">
        <x:f>IF(ROW()=2,Bankroll!$B$2+G42,I41+G42)</x:f>
        <x:v>100</x:v>
      </x:c>
      <x:c r="J42" t="str"/>
    </x:row>
    <x:row r="43">
      <x:c r="A43" t="str"/>
      <x:c r="B43" t="str"/>
      <x:c r="C43" t="str"/>
      <x:c r="D43" t="str"/>
      <x:c r="E43" t="str"/>
      <x:c r="F43" s="22" t="str"/>
      <x:c r="G43" s="22" t="str"/>
      <x:c r="H43" s="20" t="n">
        <x:f>IFERROR(G43/F43,0)</x:f>
        <x:v>0</x:v>
      </x:c>
      <x:c r="I43" s="22" t="n">
        <x:f>IF(ROW()=2,Bankroll!$B$2+G43,I42+G43)</x:f>
        <x:v>100</x:v>
      </x:c>
      <x:c r="J43" t="str"/>
    </x:row>
    <x:row r="44">
      <x:c r="A44" t="str"/>
      <x:c r="B44" t="str"/>
      <x:c r="C44" t="str"/>
      <x:c r="D44" t="str"/>
      <x:c r="E44" t="str"/>
      <x:c r="F44" s="22" t="str"/>
      <x:c r="G44" s="22" t="str"/>
      <x:c r="H44" s="20" t="n">
        <x:f>IFERROR(G44/F44,0)</x:f>
        <x:v>0</x:v>
      </x:c>
      <x:c r="I44" s="22" t="n">
        <x:f>IF(ROW()=2,Bankroll!$B$2+G44,I43+G44)</x:f>
        <x:v>100</x:v>
      </x:c>
      <x:c r="J44" t="str"/>
    </x:row>
    <x:row r="45">
      <x:c r="A45" t="str"/>
      <x:c r="B45" t="str"/>
      <x:c r="C45" t="str"/>
      <x:c r="D45" t="str"/>
      <x:c r="E45" t="str"/>
      <x:c r="F45" s="22" t="str"/>
      <x:c r="G45" s="22" t="str"/>
      <x:c r="H45" s="20" t="n">
        <x:f>IFERROR(G45/F45,0)</x:f>
        <x:v>0</x:v>
      </x:c>
      <x:c r="I45" s="22" t="n">
        <x:f>IF(ROW()=2,Bankroll!$B$2+G45,I44+G45)</x:f>
        <x:v>100</x:v>
      </x:c>
      <x:c r="J45" t="str"/>
    </x:row>
    <x:row r="46">
      <x:c r="A46" t="str"/>
      <x:c r="B46" t="str"/>
      <x:c r="C46" t="str"/>
      <x:c r="D46" t="str"/>
      <x:c r="E46" t="str"/>
      <x:c r="F46" s="22" t="str"/>
      <x:c r="G46" s="22" t="str"/>
      <x:c r="H46" s="20" t="n">
        <x:f>IFERROR(G46/F46,0)</x:f>
        <x:v>0</x:v>
      </x:c>
      <x:c r="I46" s="22" t="n">
        <x:f>IF(ROW()=2,Bankroll!$B$2+G46,I45+G46)</x:f>
        <x:v>100</x:v>
      </x:c>
      <x:c r="J46" t="str"/>
    </x:row>
    <x:row r="47">
      <x:c r="A47" t="str"/>
      <x:c r="B47" t="str"/>
      <x:c r="C47" t="str"/>
      <x:c r="D47" t="str"/>
      <x:c r="E47" t="str"/>
      <x:c r="F47" s="22" t="str"/>
      <x:c r="G47" s="22" t="str"/>
      <x:c r="H47" s="20" t="n">
        <x:f>IFERROR(G47/F47,0)</x:f>
        <x:v>0</x:v>
      </x:c>
      <x:c r="I47" s="22" t="n">
        <x:f>IF(ROW()=2,Bankroll!$B$2+G47,I46+G47)</x:f>
        <x:v>100</x:v>
      </x:c>
      <x:c r="J47" t="str"/>
    </x:row>
    <x:row r="48">
      <x:c r="A48" t="str"/>
      <x:c r="B48" t="str"/>
      <x:c r="C48" t="str"/>
      <x:c r="D48" t="str"/>
      <x:c r="E48" t="str"/>
      <x:c r="F48" s="22" t="str"/>
      <x:c r="G48" s="22" t="str"/>
      <x:c r="H48" s="20" t="n">
        <x:f>IFERROR(G48/F48,0)</x:f>
        <x:v>0</x:v>
      </x:c>
      <x:c r="I48" s="22" t="n">
        <x:f>IF(ROW()=2,Bankroll!$B$2+G48,I47+G48)</x:f>
        <x:v>100</x:v>
      </x:c>
      <x:c r="J48" t="str"/>
    </x:row>
    <x:row r="49">
      <x:c r="A49" t="str"/>
      <x:c r="B49" t="str"/>
      <x:c r="C49" t="str"/>
      <x:c r="D49" t="str"/>
      <x:c r="E49" t="str"/>
      <x:c r="F49" s="22" t="str"/>
      <x:c r="G49" s="22" t="str"/>
      <x:c r="H49" s="20" t="n">
        <x:f>IFERROR(G49/F49,0)</x:f>
        <x:v>0</x:v>
      </x:c>
      <x:c r="I49" s="22" t="n">
        <x:f>IF(ROW()=2,Bankroll!$B$2+G49,I48+G49)</x:f>
        <x:v>100</x:v>
      </x:c>
      <x:c r="J49" t="str"/>
    </x:row>
    <x:row r="50">
      <x:c r="A50" t="str"/>
      <x:c r="B50" t="str"/>
      <x:c r="C50" t="str"/>
      <x:c r="D50" t="str"/>
      <x:c r="E50" t="str"/>
      <x:c r="F50" s="22" t="str"/>
      <x:c r="G50" s="22" t="str"/>
      <x:c r="H50" s="20" t="n">
        <x:f>IFERROR(G50/F50,0)</x:f>
        <x:v>0</x:v>
      </x:c>
      <x:c r="I50" s="22" t="n">
        <x:f>IF(ROW()=2,Bankroll!$B$2+G50,I49+G50)</x:f>
        <x:v>100</x:v>
      </x:c>
      <x:c r="J50" t="str"/>
    </x:row>
    <x:row r="51">
      <x:c r="A51" t="str"/>
      <x:c r="B51" t="str"/>
      <x:c r="C51" t="str"/>
      <x:c r="D51" t="str"/>
      <x:c r="E51" t="str"/>
      <x:c r="F51" s="22" t="str"/>
      <x:c r="G51" s="22" t="str"/>
      <x:c r="H51" s="20" t="n">
        <x:f>IFERROR(G51/F51,0)</x:f>
        <x:v>0</x:v>
      </x:c>
      <x:c r="I51" s="22" t="n">
        <x:f>IF(ROW()=2,Bankroll!$B$2+G51,I50+G51)</x:f>
        <x:v>100</x:v>
      </x:c>
      <x:c r="J51" t="str"/>
    </x:row>
    <x:row r="52">
      <x:c r="A52" t="str"/>
      <x:c r="B52" t="str"/>
      <x:c r="C52" t="str"/>
      <x:c r="D52" t="str"/>
      <x:c r="E52" t="str"/>
      <x:c r="F52" s="22" t="str"/>
      <x:c r="G52" s="22" t="str"/>
      <x:c r="H52" s="20" t="n">
        <x:f>IFERROR(G52/F52,0)</x:f>
        <x:v>0</x:v>
      </x:c>
      <x:c r="I52" s="22" t="n">
        <x:f>IF(ROW()=2,Bankroll!$B$2+G52,I51+G52)</x:f>
        <x:v>100</x:v>
      </x:c>
      <x:c r="J52" t="str"/>
    </x:row>
    <x:row r="53">
      <x:c r="A53" t="str"/>
      <x:c r="B53" t="str"/>
      <x:c r="C53" t="str"/>
      <x:c r="D53" t="str"/>
      <x:c r="E53" t="str"/>
      <x:c r="F53" s="22" t="str"/>
      <x:c r="G53" s="22" t="str"/>
      <x:c r="H53" s="20" t="n">
        <x:f>IFERROR(G53/F53,0)</x:f>
        <x:v>0</x:v>
      </x:c>
      <x:c r="I53" s="22" t="n">
        <x:f>IF(ROW()=2,Bankroll!$B$2+G53,I52+G53)</x:f>
        <x:v>100</x:v>
      </x:c>
      <x:c r="J53" t="str"/>
    </x:row>
    <x:row r="54">
      <x:c r="A54" t="str"/>
      <x:c r="B54" t="str"/>
      <x:c r="C54" t="str"/>
      <x:c r="D54" t="str"/>
      <x:c r="E54" t="str"/>
      <x:c r="F54" s="22" t="str"/>
      <x:c r="G54" s="22" t="str"/>
      <x:c r="H54" s="20" t="n">
        <x:f>IFERROR(G54/F54,0)</x:f>
        <x:v>0</x:v>
      </x:c>
      <x:c r="I54" s="22" t="n">
        <x:f>IF(ROW()=2,Bankroll!$B$2+G54,I53+G54)</x:f>
        <x:v>100</x:v>
      </x:c>
      <x:c r="J54" t="str"/>
    </x:row>
    <x:row r="55">
      <x:c r="A55" t="str"/>
      <x:c r="B55" t="str"/>
      <x:c r="C55" t="str"/>
      <x:c r="D55" t="str"/>
      <x:c r="E55" t="str"/>
      <x:c r="F55" s="22" t="str"/>
      <x:c r="G55" s="22" t="str"/>
      <x:c r="H55" s="20" t="n">
        <x:f>IFERROR(G55/F55,0)</x:f>
        <x:v>0</x:v>
      </x:c>
      <x:c r="I55" s="22" t="n">
        <x:f>IF(ROW()=2,Bankroll!$B$2+G55,I54+G55)</x:f>
        <x:v>100</x:v>
      </x:c>
      <x:c r="J55" t="str"/>
    </x:row>
    <x:row r="56">
      <x:c r="A56" t="str"/>
      <x:c r="B56" t="str"/>
      <x:c r="C56" t="str"/>
      <x:c r="D56" t="str"/>
      <x:c r="E56" t="str"/>
      <x:c r="F56" s="22" t="str"/>
      <x:c r="G56" s="22" t="str"/>
      <x:c r="H56" s="20" t="n">
        <x:f>IFERROR(G56/F56,0)</x:f>
        <x:v>0</x:v>
      </x:c>
      <x:c r="I56" s="22" t="n">
        <x:f>IF(ROW()=2,Bankroll!$B$2+G56,I55+G56)</x:f>
        <x:v>100</x:v>
      </x:c>
      <x:c r="J56" t="str"/>
    </x:row>
    <x:row r="57">
      <x:c r="A57" t="str"/>
      <x:c r="B57" t="str"/>
      <x:c r="C57" t="str"/>
      <x:c r="D57" t="str"/>
      <x:c r="E57" t="str"/>
      <x:c r="F57" s="22" t="str"/>
      <x:c r="G57" s="22" t="str"/>
      <x:c r="H57" s="20" t="n">
        <x:f>IFERROR(G57/F57,0)</x:f>
        <x:v>0</x:v>
      </x:c>
      <x:c r="I57" s="22" t="n">
        <x:f>IF(ROW()=2,Bankroll!$B$2+G57,I56+G57)</x:f>
        <x:v>100</x:v>
      </x:c>
      <x:c r="J57" t="str"/>
    </x:row>
    <x:row r="58">
      <x:c r="A58" t="str"/>
      <x:c r="B58" t="str"/>
      <x:c r="C58" t="str"/>
      <x:c r="D58" t="str"/>
      <x:c r="E58" t="str"/>
      <x:c r="F58" s="22" t="str"/>
      <x:c r="G58" s="22" t="str"/>
      <x:c r="H58" s="20" t="n">
        <x:f>IFERROR(G58/F58,0)</x:f>
        <x:v>0</x:v>
      </x:c>
      <x:c r="I58" s="22" t="n">
        <x:f>IF(ROW()=2,Bankroll!$B$2+G58,I57+G58)</x:f>
        <x:v>100</x:v>
      </x:c>
      <x:c r="J58" t="str"/>
    </x:row>
    <x:row r="59">
      <x:c r="A59" t="str"/>
      <x:c r="B59" t="str"/>
      <x:c r="C59" t="str"/>
      <x:c r="D59" t="str"/>
      <x:c r="E59" t="str"/>
      <x:c r="F59" s="22" t="str"/>
      <x:c r="G59" s="22" t="str"/>
      <x:c r="H59" s="20" t="n">
        <x:f>IFERROR(G59/F59,0)</x:f>
        <x:v>0</x:v>
      </x:c>
      <x:c r="I59" s="22" t="n">
        <x:f>IF(ROW()=2,Bankroll!$B$2+G59,I58+G59)</x:f>
        <x:v>100</x:v>
      </x:c>
      <x:c r="J59" t="str"/>
    </x:row>
    <x:row r="60">
      <x:c r="A60" t="str"/>
      <x:c r="B60" t="str"/>
      <x:c r="C60" t="str"/>
      <x:c r="D60" t="str"/>
      <x:c r="E60" t="str"/>
      <x:c r="F60" s="22" t="str"/>
      <x:c r="G60" s="22" t="str"/>
      <x:c r="H60" s="20" t="n">
        <x:f>IFERROR(G60/F60,0)</x:f>
        <x:v>0</x:v>
      </x:c>
      <x:c r="I60" s="22" t="n">
        <x:f>IF(ROW()=2,Bankroll!$B$2+G60,I59+G60)</x:f>
        <x:v>100</x:v>
      </x:c>
      <x:c r="J60" t="str"/>
    </x:row>
    <x:row r="61">
      <x:c r="A61" t="str"/>
      <x:c r="B61" t="str"/>
      <x:c r="C61" t="str"/>
      <x:c r="D61" t="str"/>
      <x:c r="E61" t="str"/>
      <x:c r="F61" s="22" t="str"/>
      <x:c r="G61" s="22" t="str"/>
      <x:c r="H61" s="20" t="n">
        <x:f>IFERROR(G61/F61,0)</x:f>
        <x:v>0</x:v>
      </x:c>
      <x:c r="I61" s="22" t="n">
        <x:f>IF(ROW()=2,Bankroll!$B$2+G61,I60+G61)</x:f>
        <x:v>100</x:v>
      </x:c>
      <x:c r="J61" t="str"/>
    </x:row>
    <x:row r="62">
      <x:c r="A62" t="str"/>
      <x:c r="B62" t="str"/>
      <x:c r="C62" t="str"/>
      <x:c r="D62" t="str"/>
      <x:c r="E62" t="str"/>
      <x:c r="F62" s="22" t="str"/>
      <x:c r="G62" s="22" t="str"/>
      <x:c r="H62" s="20" t="n">
        <x:f>IFERROR(G62/F62,0)</x:f>
        <x:v>0</x:v>
      </x:c>
      <x:c r="I62" s="22" t="n">
        <x:f>IF(ROW()=2,Bankroll!$B$2+G62,I61+G62)</x:f>
        <x:v>100</x:v>
      </x:c>
      <x:c r="J62" t="str"/>
    </x:row>
    <x:row r="63">
      <x:c r="A63" t="str"/>
      <x:c r="B63" t="str"/>
      <x:c r="C63" t="str"/>
      <x:c r="D63" t="str"/>
      <x:c r="E63" t="str"/>
      <x:c r="F63" s="22" t="str"/>
      <x:c r="G63" s="22" t="str"/>
      <x:c r="H63" s="20" t="n">
        <x:f>IFERROR(G63/F63,0)</x:f>
        <x:v>0</x:v>
      </x:c>
      <x:c r="I63" s="22" t="n">
        <x:f>IF(ROW()=2,Bankroll!$B$2+G63,I62+G63)</x:f>
        <x:v>100</x:v>
      </x:c>
      <x:c r="J63" t="str"/>
    </x:row>
    <x:row r="64">
      <x:c r="A64" t="str"/>
      <x:c r="B64" t="str"/>
      <x:c r="C64" t="str"/>
      <x:c r="D64" t="str"/>
      <x:c r="E64" t="str"/>
      <x:c r="F64" s="22" t="str"/>
      <x:c r="G64" s="22" t="str"/>
      <x:c r="H64" s="20" t="n">
        <x:f>IFERROR(G64/F64,0)</x:f>
        <x:v>0</x:v>
      </x:c>
      <x:c r="I64" s="22" t="n">
        <x:f>IF(ROW()=2,Bankroll!$B$2+G64,I63+G64)</x:f>
        <x:v>100</x:v>
      </x:c>
      <x:c r="J64" t="str"/>
    </x:row>
    <x:row r="65">
      <x:c r="A65" t="str"/>
      <x:c r="B65" t="str"/>
      <x:c r="C65" t="str"/>
      <x:c r="D65" t="str"/>
      <x:c r="E65" t="str"/>
      <x:c r="F65" s="22" t="str"/>
      <x:c r="G65" s="22" t="str"/>
      <x:c r="H65" s="20" t="n">
        <x:f>IFERROR(G65/F65,0)</x:f>
        <x:v>0</x:v>
      </x:c>
      <x:c r="I65" s="22" t="n">
        <x:f>IF(ROW()=2,Bankroll!$B$2+G65,I64+G65)</x:f>
        <x:v>100</x:v>
      </x:c>
      <x:c r="J65" t="str"/>
    </x:row>
    <x:row r="66">
      <x:c r="A66" t="str"/>
      <x:c r="B66" t="str"/>
      <x:c r="C66" t="str"/>
      <x:c r="D66" t="str"/>
      <x:c r="E66" t="str"/>
      <x:c r="F66" s="22" t="str"/>
      <x:c r="G66" s="22" t="str"/>
      <x:c r="H66" s="20" t="n">
        <x:f>IFERROR(G66/F66,0)</x:f>
        <x:v>0</x:v>
      </x:c>
      <x:c r="I66" s="22" t="n">
        <x:f>IF(ROW()=2,Bankroll!$B$2+G66,I65+G66)</x:f>
        <x:v>100</x:v>
      </x:c>
      <x:c r="J66" t="str"/>
    </x:row>
    <x:row r="67">
      <x:c r="A67" t="str"/>
      <x:c r="B67" t="str"/>
      <x:c r="C67" t="str"/>
      <x:c r="D67" t="str"/>
      <x:c r="E67" t="str"/>
      <x:c r="F67" s="22" t="str"/>
      <x:c r="G67" s="22" t="str"/>
      <x:c r="H67" s="20" t="n">
        <x:f>IFERROR(G67/F67,0)</x:f>
        <x:v>0</x:v>
      </x:c>
      <x:c r="I67" s="22" t="n">
        <x:f>IF(ROW()=2,Bankroll!$B$2+G67,I66+G67)</x:f>
        <x:v>100</x:v>
      </x:c>
      <x:c r="J67" t="str"/>
    </x:row>
    <x:row r="68">
      <x:c r="A68" t="str"/>
      <x:c r="B68" t="str"/>
      <x:c r="C68" t="str"/>
      <x:c r="D68" t="str"/>
      <x:c r="E68" t="str"/>
      <x:c r="F68" s="22" t="str"/>
      <x:c r="G68" s="22" t="str"/>
      <x:c r="H68" s="20" t="n">
        <x:f>IFERROR(G68/F68,0)</x:f>
        <x:v>0</x:v>
      </x:c>
      <x:c r="I68" s="22" t="n">
        <x:f>IF(ROW()=2,Bankroll!$B$2+G68,I67+G68)</x:f>
        <x:v>100</x:v>
      </x:c>
      <x:c r="J68" t="str"/>
    </x:row>
    <x:row r="69">
      <x:c r="A69" t="str"/>
      <x:c r="B69" t="str"/>
      <x:c r="C69" t="str"/>
      <x:c r="D69" t="str"/>
      <x:c r="E69" t="str"/>
      <x:c r="F69" s="22" t="str"/>
      <x:c r="G69" s="22" t="str"/>
      <x:c r="H69" s="20" t="n">
        <x:f>IFERROR(G69/F69,0)</x:f>
        <x:v>0</x:v>
      </x:c>
      <x:c r="I69" s="22" t="n">
        <x:f>IF(ROW()=2,Bankroll!$B$2+G69,I68+G69)</x:f>
        <x:v>100</x:v>
      </x:c>
      <x:c r="J69" t="str"/>
    </x:row>
    <x:row r="70">
      <x:c r="A70" t="str"/>
      <x:c r="B70" t="str"/>
      <x:c r="C70" t="str"/>
      <x:c r="D70" t="str"/>
      <x:c r="E70" t="str"/>
      <x:c r="F70" s="22" t="str"/>
      <x:c r="G70" s="22" t="str"/>
      <x:c r="H70" s="20" t="n">
        <x:f>IFERROR(G70/F70,0)</x:f>
        <x:v>0</x:v>
      </x:c>
      <x:c r="I70" s="22" t="n">
        <x:f>IF(ROW()=2,Bankroll!$B$2+G70,I69+G70)</x:f>
        <x:v>100</x:v>
      </x:c>
      <x:c r="J70" t="str"/>
    </x:row>
    <x:row r="71">
      <x:c r="A71" t="str"/>
      <x:c r="B71" t="str"/>
      <x:c r="C71" t="str"/>
      <x:c r="D71" t="str"/>
      <x:c r="E71" t="str"/>
      <x:c r="F71" s="22" t="str"/>
      <x:c r="G71" s="22" t="str"/>
      <x:c r="H71" s="20" t="n">
        <x:f>IFERROR(G71/F71,0)</x:f>
        <x:v>0</x:v>
      </x:c>
      <x:c r="I71" s="22" t="n">
        <x:f>IF(ROW()=2,Bankroll!$B$2+G71,I70+G71)</x:f>
        <x:v>100</x:v>
      </x:c>
      <x:c r="J71" t="str"/>
    </x:row>
    <x:row r="72">
      <x:c r="A72" t="str"/>
      <x:c r="B72" t="str"/>
      <x:c r="C72" t="str"/>
      <x:c r="D72" t="str"/>
      <x:c r="E72" t="str"/>
      <x:c r="F72" s="22" t="str"/>
      <x:c r="G72" s="22" t="str"/>
      <x:c r="H72" s="20" t="n">
        <x:f>IFERROR(G72/F72,0)</x:f>
        <x:v>0</x:v>
      </x:c>
      <x:c r="I72" s="22" t="n">
        <x:f>IF(ROW()=2,Bankroll!$B$2+G72,I71+G72)</x:f>
        <x:v>100</x:v>
      </x:c>
      <x:c r="J72" t="str"/>
    </x:row>
    <x:row r="73">
      <x:c r="A73" t="str"/>
      <x:c r="B73" t="str"/>
      <x:c r="C73" t="str"/>
      <x:c r="D73" t="str"/>
      <x:c r="E73" t="str"/>
      <x:c r="F73" s="22" t="str"/>
      <x:c r="G73" s="22" t="str"/>
      <x:c r="H73" s="20" t="n">
        <x:f>IFERROR(G73/F73,0)</x:f>
        <x:v>0</x:v>
      </x:c>
      <x:c r="I73" s="22" t="n">
        <x:f>IF(ROW()=2,Bankroll!$B$2+G73,I72+G73)</x:f>
        <x:v>100</x:v>
      </x:c>
      <x:c r="J73" t="str"/>
    </x:row>
    <x:row r="74">
      <x:c r="A74" t="str"/>
      <x:c r="B74" t="str"/>
      <x:c r="C74" t="str"/>
      <x:c r="D74" t="str"/>
      <x:c r="E74" t="str"/>
      <x:c r="F74" s="22" t="str"/>
      <x:c r="G74" s="22" t="str"/>
      <x:c r="H74" s="20" t="n">
        <x:f>IFERROR(G74/F74,0)</x:f>
        <x:v>0</x:v>
      </x:c>
      <x:c r="I74" s="22" t="n">
        <x:f>IF(ROW()=2,Bankroll!$B$2+G74,I73+G74)</x:f>
        <x:v>100</x:v>
      </x:c>
      <x:c r="J74" t="str"/>
    </x:row>
    <x:row r="75">
      <x:c r="A75" t="str"/>
      <x:c r="B75" t="str"/>
      <x:c r="C75" t="str"/>
      <x:c r="D75" t="str"/>
      <x:c r="E75" t="str"/>
      <x:c r="F75" s="22" t="str"/>
      <x:c r="G75" s="22" t="str"/>
      <x:c r="H75" s="20" t="n">
        <x:f>IFERROR(G75/F75,0)</x:f>
        <x:v>0</x:v>
      </x:c>
      <x:c r="I75" s="22" t="n">
        <x:f>IF(ROW()=2,Bankroll!$B$2+G75,I74+G75)</x:f>
        <x:v>100</x:v>
      </x:c>
      <x:c r="J75" t="str"/>
    </x:row>
    <x:row r="76">
      <x:c r="A76" t="str"/>
      <x:c r="B76" t="str"/>
      <x:c r="C76" t="str"/>
      <x:c r="D76" t="str"/>
      <x:c r="E76" t="str"/>
      <x:c r="F76" s="22" t="str"/>
      <x:c r="G76" s="22" t="str"/>
      <x:c r="H76" s="20" t="n">
        <x:f>IFERROR(G76/F76,0)</x:f>
        <x:v>0</x:v>
      </x:c>
      <x:c r="I76" s="22" t="n">
        <x:f>IF(ROW()=2,Bankroll!$B$2+G76,I75+G76)</x:f>
        <x:v>100</x:v>
      </x:c>
      <x:c r="J76" t="str"/>
    </x:row>
    <x:row r="77">
      <x:c r="A77" t="str"/>
      <x:c r="B77" t="str"/>
      <x:c r="C77" t="str"/>
      <x:c r="D77" t="str"/>
      <x:c r="E77" t="str"/>
      <x:c r="F77" s="22" t="str"/>
      <x:c r="G77" s="22" t="str"/>
      <x:c r="H77" s="20" t="n">
        <x:f>IFERROR(G77/F77,0)</x:f>
        <x:v>0</x:v>
      </x:c>
      <x:c r="I77" s="22" t="n">
        <x:f>IF(ROW()=2,Bankroll!$B$2+G77,I76+G77)</x:f>
        <x:v>100</x:v>
      </x:c>
      <x:c r="J77" t="str"/>
    </x:row>
    <x:row r="78">
      <x:c r="A78" t="str"/>
      <x:c r="B78" t="str"/>
      <x:c r="C78" t="str"/>
      <x:c r="D78" t="str"/>
      <x:c r="E78" t="str"/>
      <x:c r="F78" s="22" t="str"/>
      <x:c r="G78" s="22" t="str"/>
      <x:c r="H78" s="20" t="n">
        <x:f>IFERROR(G78/F78,0)</x:f>
        <x:v>0</x:v>
      </x:c>
      <x:c r="I78" s="22" t="n">
        <x:f>IF(ROW()=2,Bankroll!$B$2+G78,I77+G78)</x:f>
        <x:v>100</x:v>
      </x:c>
      <x:c r="J78" t="str"/>
    </x:row>
    <x:row r="79">
      <x:c r="A79" t="str"/>
      <x:c r="B79" t="str"/>
      <x:c r="C79" t="str"/>
      <x:c r="D79" t="str"/>
      <x:c r="E79" t="str"/>
      <x:c r="F79" s="22" t="str"/>
      <x:c r="G79" s="22" t="str"/>
      <x:c r="H79" s="20" t="n">
        <x:f>IFERROR(G79/F79,0)</x:f>
        <x:v>0</x:v>
      </x:c>
      <x:c r="I79" s="22" t="n">
        <x:f>IF(ROW()=2,Bankroll!$B$2+G79,I78+G79)</x:f>
        <x:v>100</x:v>
      </x:c>
      <x:c r="J79" t="str"/>
    </x:row>
    <x:row r="80">
      <x:c r="A80" t="str"/>
      <x:c r="B80" t="str"/>
      <x:c r="C80" t="str"/>
      <x:c r="D80" t="str"/>
      <x:c r="E80" t="str"/>
      <x:c r="F80" s="22" t="str"/>
      <x:c r="G80" s="22" t="str"/>
      <x:c r="H80" s="20" t="n">
        <x:f>IFERROR(G80/F80,0)</x:f>
        <x:v>0</x:v>
      </x:c>
      <x:c r="I80" s="22" t="n">
        <x:f>IF(ROW()=2,Bankroll!$B$2+G80,I79+G80)</x:f>
        <x:v>100</x:v>
      </x:c>
      <x:c r="J80" t="str"/>
    </x:row>
    <x:row r="81">
      <x:c r="A81" t="str"/>
      <x:c r="B81" t="str"/>
      <x:c r="C81" t="str"/>
      <x:c r="D81" t="str"/>
      <x:c r="E81" t="str"/>
      <x:c r="F81" s="22" t="str"/>
      <x:c r="G81" s="22" t="str"/>
      <x:c r="H81" s="20" t="n">
        <x:f>IFERROR(G81/F81,0)</x:f>
        <x:v>0</x:v>
      </x:c>
      <x:c r="I81" s="22" t="n">
        <x:f>IF(ROW()=2,Bankroll!$B$2+G81,I80+G81)</x:f>
        <x:v>100</x:v>
      </x:c>
      <x:c r="J81" t="str"/>
    </x:row>
    <x:row r="82">
      <x:c r="A82" t="str"/>
      <x:c r="B82" t="str"/>
      <x:c r="C82" t="str"/>
      <x:c r="D82" t="str"/>
      <x:c r="E82" t="str"/>
      <x:c r="F82" s="22" t="str"/>
      <x:c r="G82" s="22" t="str"/>
      <x:c r="H82" s="20" t="n">
        <x:f>IFERROR(G82/F82,0)</x:f>
        <x:v>0</x:v>
      </x:c>
      <x:c r="I82" s="22" t="n">
        <x:f>IF(ROW()=2,Bankroll!$B$2+G82,I81+G82)</x:f>
        <x:v>100</x:v>
      </x:c>
      <x:c r="J82" t="str"/>
    </x:row>
    <x:row r="83">
      <x:c r="A83" t="str"/>
      <x:c r="B83" t="str"/>
      <x:c r="C83" t="str"/>
      <x:c r="D83" t="str"/>
      <x:c r="E83" t="str"/>
      <x:c r="F83" s="22" t="str"/>
      <x:c r="G83" s="22" t="str"/>
      <x:c r="H83" s="20" t="n">
        <x:f>IFERROR(G83/F83,0)</x:f>
        <x:v>0</x:v>
      </x:c>
      <x:c r="I83" s="22" t="n">
        <x:f>IF(ROW()=2,Bankroll!$B$2+G83,I82+G83)</x:f>
        <x:v>100</x:v>
      </x:c>
      <x:c r="J83" t="str"/>
    </x:row>
    <x:row r="84">
      <x:c r="A84" t="str"/>
      <x:c r="B84" t="str"/>
      <x:c r="C84" t="str"/>
      <x:c r="D84" t="str"/>
      <x:c r="E84" t="str"/>
      <x:c r="F84" s="22" t="str"/>
      <x:c r="G84" s="22" t="str"/>
      <x:c r="H84" s="20" t="n">
        <x:f>IFERROR(G84/F84,0)</x:f>
        <x:v>0</x:v>
      </x:c>
      <x:c r="I84" s="22" t="n">
        <x:f>IF(ROW()=2,Bankroll!$B$2+G84,I83+G84)</x:f>
        <x:v>100</x:v>
      </x:c>
      <x:c r="J84" t="str"/>
    </x:row>
    <x:row r="85">
      <x:c r="A85" t="str"/>
      <x:c r="B85" t="str"/>
      <x:c r="C85" t="str"/>
      <x:c r="D85" t="str"/>
      <x:c r="E85" t="str"/>
      <x:c r="F85" s="22" t="str"/>
      <x:c r="G85" s="22" t="str"/>
      <x:c r="H85" s="20" t="n">
        <x:f>IFERROR(G85/F85,0)</x:f>
        <x:v>0</x:v>
      </x:c>
      <x:c r="I85" s="22" t="n">
        <x:f>IF(ROW()=2,Bankroll!$B$2+G85,I84+G85)</x:f>
        <x:v>100</x:v>
      </x:c>
      <x:c r="J85" t="str"/>
    </x:row>
    <x:row r="86">
      <x:c r="A86" t="str"/>
      <x:c r="B86" t="str"/>
      <x:c r="C86" t="str"/>
      <x:c r="D86" t="str"/>
      <x:c r="E86" t="str"/>
      <x:c r="F86" s="22" t="str"/>
      <x:c r="G86" s="22" t="str"/>
      <x:c r="H86" s="20" t="n">
        <x:f>IFERROR(G86/F86,0)</x:f>
        <x:v>0</x:v>
      </x:c>
      <x:c r="I86" s="22" t="n">
        <x:f>IF(ROW()=2,Bankroll!$B$2+G86,I85+G86)</x:f>
        <x:v>100</x:v>
      </x:c>
      <x:c r="J86" t="str"/>
    </x:row>
    <x:row r="87">
      <x:c r="A87" t="str"/>
      <x:c r="B87" t="str"/>
      <x:c r="C87" t="str"/>
      <x:c r="D87" t="str"/>
      <x:c r="E87" t="str"/>
      <x:c r="F87" s="22" t="str"/>
      <x:c r="G87" s="22" t="str"/>
      <x:c r="H87" s="20" t="n">
        <x:f>IFERROR(G87/F87,0)</x:f>
        <x:v>0</x:v>
      </x:c>
      <x:c r="I87" s="22" t="n">
        <x:f>IF(ROW()=2,Bankroll!$B$2+G87,I86+G87)</x:f>
        <x:v>100</x:v>
      </x:c>
      <x:c r="J87" t="str"/>
    </x:row>
    <x:row r="88">
      <x:c r="A88" t="str"/>
      <x:c r="B88" t="str"/>
      <x:c r="C88" t="str"/>
      <x:c r="D88" t="str"/>
      <x:c r="E88" t="str"/>
      <x:c r="F88" s="22" t="str"/>
      <x:c r="G88" s="22" t="str"/>
      <x:c r="H88" s="20" t="n">
        <x:f>IFERROR(G88/F88,0)</x:f>
        <x:v>0</x:v>
      </x:c>
      <x:c r="I88" s="22" t="n">
        <x:f>IF(ROW()=2,Bankroll!$B$2+G88,I87+G88)</x:f>
        <x:v>100</x:v>
      </x:c>
      <x:c r="J88" t="str"/>
    </x:row>
    <x:row r="89">
      <x:c r="A89" t="str"/>
      <x:c r="B89" t="str"/>
      <x:c r="C89" t="str"/>
      <x:c r="D89" t="str"/>
      <x:c r="E89" t="str"/>
      <x:c r="F89" s="22" t="str"/>
      <x:c r="G89" s="22" t="str"/>
      <x:c r="H89" s="20" t="n">
        <x:f>IFERROR(G89/F89,0)</x:f>
        <x:v>0</x:v>
      </x:c>
      <x:c r="I89" s="22" t="n">
        <x:f>IF(ROW()=2,Bankroll!$B$2+G89,I88+G89)</x:f>
        <x:v>100</x:v>
      </x:c>
      <x:c r="J89" t="str"/>
    </x:row>
    <x:row r="90">
      <x:c r="A90" t="str"/>
      <x:c r="B90" t="str"/>
      <x:c r="C90" t="str"/>
      <x:c r="D90" t="str"/>
      <x:c r="E90" t="str"/>
      <x:c r="F90" s="22" t="str"/>
      <x:c r="G90" s="22" t="str"/>
      <x:c r="H90" s="20" t="n">
        <x:f>IFERROR(G90/F90,0)</x:f>
        <x:v>0</x:v>
      </x:c>
      <x:c r="I90" s="22" t="n">
        <x:f>IF(ROW()=2,Bankroll!$B$2+G90,I89+G90)</x:f>
        <x:v>100</x:v>
      </x:c>
      <x:c r="J90" t="str"/>
    </x:row>
    <x:row r="91">
      <x:c r="A91" t="str"/>
      <x:c r="B91" t="str"/>
      <x:c r="C91" t="str"/>
      <x:c r="D91" t="str"/>
      <x:c r="E91" t="str"/>
      <x:c r="F91" s="22" t="str"/>
      <x:c r="G91" s="22" t="str"/>
      <x:c r="H91" s="20" t="n">
        <x:f>IFERROR(G91/F91,0)</x:f>
        <x:v>0</x:v>
      </x:c>
      <x:c r="I91" s="22" t="n">
        <x:f>IF(ROW()=2,Bankroll!$B$2+G91,I90+G91)</x:f>
        <x:v>100</x:v>
      </x:c>
      <x:c r="J91" t="str"/>
    </x:row>
    <x:row r="92">
      <x:c r="A92" t="str"/>
      <x:c r="B92" t="str"/>
      <x:c r="C92" t="str"/>
      <x:c r="D92" t="str"/>
      <x:c r="E92" t="str"/>
      <x:c r="F92" s="22" t="str"/>
      <x:c r="G92" s="22" t="str"/>
      <x:c r="H92" s="20" t="n">
        <x:f>IFERROR(G92/F92,0)</x:f>
        <x:v>0</x:v>
      </x:c>
      <x:c r="I92" s="22" t="n">
        <x:f>IF(ROW()=2,Bankroll!$B$2+G92,I91+G92)</x:f>
        <x:v>100</x:v>
      </x:c>
      <x:c r="J92" t="str"/>
    </x:row>
    <x:row r="93">
      <x:c r="A93" t="str"/>
      <x:c r="B93" t="str"/>
      <x:c r="C93" t="str"/>
      <x:c r="D93" t="str"/>
      <x:c r="E93" t="str"/>
      <x:c r="F93" s="22" t="str"/>
      <x:c r="G93" s="22" t="str"/>
      <x:c r="H93" s="20" t="n">
        <x:f>IFERROR(G93/F93,0)</x:f>
        <x:v>0</x:v>
      </x:c>
      <x:c r="I93" s="22" t="n">
        <x:f>IF(ROW()=2,Bankroll!$B$2+G93,I92+G93)</x:f>
        <x:v>100</x:v>
      </x:c>
      <x:c r="J93" t="str"/>
    </x:row>
    <x:row r="94">
      <x:c r="A94" t="str"/>
      <x:c r="B94" t="str"/>
      <x:c r="C94" t="str"/>
      <x:c r="D94" t="str"/>
      <x:c r="E94" t="str"/>
      <x:c r="F94" s="22" t="str"/>
      <x:c r="G94" s="22" t="str"/>
      <x:c r="H94" s="20" t="n">
        <x:f>IFERROR(G94/F94,0)</x:f>
        <x:v>0</x:v>
      </x:c>
      <x:c r="I94" s="22" t="n">
        <x:f>IF(ROW()=2,Bankroll!$B$2+G94,I93+G94)</x:f>
        <x:v>100</x:v>
      </x:c>
      <x:c r="J94" t="str"/>
    </x:row>
    <x:row r="95">
      <x:c r="A95" t="str"/>
      <x:c r="B95" t="str"/>
      <x:c r="C95" t="str"/>
      <x:c r="D95" t="str"/>
      <x:c r="E95" t="str"/>
      <x:c r="F95" s="22" t="str"/>
      <x:c r="G95" s="22" t="str"/>
      <x:c r="H95" s="20" t="n">
        <x:f>IFERROR(G95/F95,0)</x:f>
        <x:v>0</x:v>
      </x:c>
      <x:c r="I95" s="22" t="n">
        <x:f>IF(ROW()=2,Bankroll!$B$2+G95,I94+G95)</x:f>
        <x:v>100</x:v>
      </x:c>
      <x:c r="J95" t="str"/>
    </x:row>
    <x:row r="96">
      <x:c r="A96" t="str"/>
      <x:c r="B96" t="str"/>
      <x:c r="C96" t="str"/>
      <x:c r="D96" t="str"/>
      <x:c r="E96" t="str"/>
      <x:c r="F96" s="22" t="str"/>
      <x:c r="G96" s="22" t="str"/>
      <x:c r="H96" s="20" t="n">
        <x:f>IFERROR(G96/F96,0)</x:f>
        <x:v>0</x:v>
      </x:c>
      <x:c r="I96" s="22" t="n">
        <x:f>IF(ROW()=2,Bankroll!$B$2+G96,I95+G96)</x:f>
        <x:v>100</x:v>
      </x:c>
      <x:c r="J96" t="str"/>
    </x:row>
    <x:row r="97">
      <x:c r="A97" t="str"/>
      <x:c r="B97" t="str"/>
      <x:c r="C97" t="str"/>
      <x:c r="D97" t="str"/>
      <x:c r="E97" t="str"/>
      <x:c r="F97" s="22" t="str"/>
      <x:c r="G97" s="22" t="str"/>
      <x:c r="H97" s="20" t="n">
        <x:f>IFERROR(G97/F97,0)</x:f>
        <x:v>0</x:v>
      </x:c>
      <x:c r="I97" s="22" t="n">
        <x:f>IF(ROW()=2,Bankroll!$B$2+G97,I96+G97)</x:f>
        <x:v>100</x:v>
      </x:c>
      <x:c r="J97" t="str"/>
    </x:row>
    <x:row r="98">
      <x:c r="A98" t="str"/>
      <x:c r="B98" t="str"/>
      <x:c r="C98" t="str"/>
      <x:c r="D98" t="str"/>
      <x:c r="E98" t="str"/>
      <x:c r="F98" s="22" t="str"/>
      <x:c r="G98" s="22" t="str"/>
      <x:c r="H98" s="20" t="n">
        <x:f>IFERROR(G98/F98,0)</x:f>
        <x:v>0</x:v>
      </x:c>
      <x:c r="I98" s="22" t="n">
        <x:f>IF(ROW()=2,Bankroll!$B$2+G98,I97+G98)</x:f>
        <x:v>100</x:v>
      </x:c>
      <x:c r="J98" t="str"/>
    </x:row>
    <x:row r="99">
      <x:c r="A99" t="str"/>
      <x:c r="B99" t="str"/>
      <x:c r="C99" t="str"/>
      <x:c r="D99" t="str"/>
      <x:c r="E99" t="str"/>
      <x:c r="F99" s="22" t="str"/>
      <x:c r="G99" s="22" t="str"/>
      <x:c r="H99" s="20" t="n">
        <x:f>IFERROR(G99/F99,0)</x:f>
        <x:v>0</x:v>
      </x:c>
      <x:c r="I99" s="22" t="n">
        <x:f>IF(ROW()=2,Bankroll!$B$2+G99,I98+G99)</x:f>
        <x:v>100</x:v>
      </x:c>
      <x:c r="J99" t="str"/>
    </x:row>
    <x:row r="100">
      <x:c r="A100" t="str"/>
      <x:c r="B100" t="str"/>
      <x:c r="C100" t="str"/>
      <x:c r="D100" t="str"/>
      <x:c r="E100" t="str"/>
      <x:c r="F100" s="22" t="str"/>
      <x:c r="G100" s="22" t="str"/>
      <x:c r="H100" s="20" t="n">
        <x:f>IFERROR(G100/F100,0)</x:f>
        <x:v>0</x:v>
      </x:c>
      <x:c r="I100" s="22" t="n">
        <x:f>IF(ROW()=2,Bankroll!$B$2+G100,I99+G100)</x:f>
        <x:v>100</x:v>
      </x:c>
      <x:c r="J100" t="str"/>
    </x:row>
    <x:row r="101">
      <x:c r="A101" t="str"/>
      <x:c r="B101" t="str"/>
      <x:c r="C101" t="str"/>
      <x:c r="D101" t="str"/>
      <x:c r="E101" t="str"/>
      <x:c r="F101" s="22" t="str"/>
      <x:c r="G101" s="22" t="str"/>
      <x:c r="H101" s="20" t="n">
        <x:f>IFERROR(G101/F101,0)</x:f>
        <x:v>0</x:v>
      </x:c>
      <x:c r="I101" s="22" t="n">
        <x:f>IF(ROW()=2,Bankroll!$B$2+G101,I100+G101)</x:f>
        <x:v>100</x:v>
      </x:c>
      <x:c r="J101" t="str"/>
    </x:row>
  </x:sheetData>
  <x:pageMargins left="0.7" right="0.7" top="0.75" bottom="0.75" header="0.3" footer="0.3"/>
  <x:tableParts count="1">
    <x:tablePart xmlns:r="http://schemas.openxmlformats.org/officeDocument/2006/relationships" r:id="Rc17933dc005d408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1.360000610351562" hidden="0" customWidth="1"/>
    <x:col min="2" max="2" width="5.25" hidden="0" customWidth="1"/>
    <x:col min="3" max="3" width="15.34000015258789" hidden="0" customWidth="1"/>
    <x:col min="4" max="4" width="16.020000457763672" hidden="0" customWidth="1"/>
  </x:cols>
  <x:sheetData>
    <x:row r="1">
      <x:c r="A1" s="26" t="str">
        <x:v>PARAMÈTRES DU MODÈLE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</x:row>
    <x:row r="2">
      <x:c r="A2" s="14" t="str">
        <x:v>Paramètre</x:v>
      </x:c>
      <x:c r="B2" s="14" t="str">
        <x:v>Valeur</x:v>
      </x:c>
      <x:c r="C2" s="14" t="str">
        <x:v>Utilisation</x:v>
      </x:c>
      <x:c r="D2" s="14" t="str">
        <x:v>Conseil</x:v>
      </x:c>
    </x:row>
    <x:row r="3">
      <x:c r="A3" t="str">
        <x:v>Bankroll départ</x:v>
      </x:c>
      <x:c r="B3" t="n">
        <x:v>100</x:v>
      </x:c>
      <x:c r="C3" t="str">
        <x:v>Calcul mises</x:v>
      </x:c>
      <x:c r="D3" t="str">
        <x:v>A adapter</x:v>
      </x:c>
    </x:row>
    <x:row r="4">
      <x:c r="A4" t="str">
        <x:v>Mise max</x:v>
      </x:c>
      <x:c r="B4" t="n">
        <x:v>0.03</x:v>
      </x:c>
      <x:c r="C4" t="str">
        <x:v>Plafond de sécurité</x:v>
      </x:c>
      <x:c r="D4" t="str">
        <x:v>1% à 3%</x:v>
      </x:c>
    </x:row>
    <x:row r="5">
      <x:c r="A5" t="str">
        <x:v>Min value</x:v>
      </x:c>
      <x:c r="B5" t="n">
        <x:v>0.03</x:v>
      </x:c>
      <x:c r="C5" t="str">
        <x:v>Filtre value bet</x:v>
      </x:c>
      <x:c r="D5" t="str">
        <x:v>0.03 à 0.08</x:v>
      </x:c>
    </x:row>
    <x:row r="6">
      <x:c r="A6" t="str">
        <x:v>Min confidence</x:v>
      </x:c>
      <x:c r="B6" t="n">
        <x:v>0.58</x:v>
      </x:c>
      <x:c r="C6" t="str">
        <x:v>Filtre confiance</x:v>
      </x:c>
      <x:c r="D6" t="str">
        <x:v>0.55 à 0.65</x:v>
      </x:c>
    </x:row>
    <x:row r="7">
      <x:c r="A7" t="str">
        <x:v>Monte Carlo simulations</x:v>
      </x:c>
      <x:c r="B7" t="n">
        <x:v>10000</x:v>
      </x:c>
      <x:c r="C7" t="str">
        <x:v>Variance score</x:v>
      </x:c>
      <x:c r="D7" t="str">
        <x:v>10000 recommandé</x:v>
      </x:c>
    </x:row>
    <x:row r="8">
      <x:c r="A8" t="str">
        <x:v>Kelly fraction</x:v>
      </x:c>
      <x:c r="B8" t="n">
        <x:v>0.25</x:v>
      </x:c>
      <x:c r="C8" t="str">
        <x:v>Réduction du Kelly</x:v>
      </x:c>
      <x:c r="D8" t="str">
        <x:v>Quart Kelly prudent</x:v>
      </x:c>
    </x:row>
  </x:sheetData>
  <x:mergeCells>
    <x:mergeCell ref="A1:D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.770000457763672" hidden="0" customWidth="1"/>
    <x:col min="2" max="2" width="36.34000015258789" hidden="0" customWidth="1"/>
    <x:col min="3" max="3" width="27.459999084472656" hidden="0" customWidth="1"/>
    <x:col min="4" max="4" width="19.920000076293945" hidden="0" customWidth="1"/>
  </x:cols>
  <x:sheetData>
    <x:row r="1">
      <x:c r="A1" s="14" t="str">
        <x:v>Service</x:v>
      </x:c>
      <x:c r="B1" s="14" t="str">
        <x:v>Lien</x:v>
      </x:c>
      <x:c r="C1" s="14" t="str">
        <x:v>Utilité</x:v>
      </x:c>
      <x:c r="D1" s="14" t="str">
        <x:v>Obligatoire ?</x:v>
      </x:c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</x:row>
    <x:row r="2">
      <x:c r="A2" t="str">
        <x:v>Python</x:v>
      </x:c>
      <x:c r="B2" t="str">
        <x:v>https://www.python.org/downloads/</x:v>
      </x:c>
      <x:c r="C2" t="str">
        <x:v>Installer Python</x:v>
      </x:c>
      <x:c r="D2" t="str">
        <x:v>Oui</x:v>
      </x:c>
    </x:row>
    <x:row r="3">
      <x:c r="A3" t="str">
        <x:v>VS Code</x:v>
      </x:c>
      <x:c r="B3" t="str">
        <x:v>https://code.visualstudio.com/</x:v>
      </x:c>
      <x:c r="C3" t="str">
        <x:v>Ouvrir/lancer le projet</x:v>
      </x:c>
      <x:c r="D3" t="str">
        <x:v>Recommandé</x:v>
      </x:c>
    </x:row>
    <x:row r="4">
      <x:c r="A4" t="str">
        <x:v>API-Football</x:v>
      </x:c>
      <x:c r="B4" t="str">
        <x:v>https://www.api-football.com/</x:v>
      </x:c>
      <x:c r="C4" t="str">
        <x:v>Matchs, stats, blessures, standings</x:v>
      </x:c>
      <x:c r="D4" t="str">
        <x:v>Oui pour live complet</x:v>
      </x:c>
    </x:row>
    <x:row r="5">
      <x:c r="A5" t="str">
        <x:v>The Odds API</x:v>
      </x:c>
      <x:c r="B5" t="str">
        <x:v>https://the-odds-api.com/</x:v>
      </x:c>
      <x:c r="C5" t="str">
        <x:v>Cotes bookmakers</x:v>
      </x:c>
      <x:c r="D5" t="str">
        <x:v>Oui pour value bets réels</x:v>
      </x:c>
    </x:row>
    <x:row r="6">
      <x:c r="A6" t="str">
        <x:v>Football-Data</x:v>
      </x:c>
      <x:c r="B6" t="str">
        <x:v>https://www.football-data.co.uk/data.php</x:v>
      </x:c>
      <x:c r="C6" t="str">
        <x:v>Historique résultats + cotes</x:v>
      </x:c>
      <x:c r="D6" t="str">
        <x:v>Non, public</x:v>
      </x:c>
    </x:row>
    <x:row r="7">
      <x:c r="A7" t="str">
        <x:v>Tennis ATP</x:v>
      </x:c>
      <x:c r="B7" t="str">
        <x:v>https://github.com/JeffSackmann/tennis_atp</x:v>
      </x:c>
      <x:c r="C7" t="str">
        <x:v>Historique ATP</x:v>
      </x:c>
      <x:c r="D7" t="str">
        <x:v>Non, public</x:v>
      </x:c>
    </x:row>
    <x:row r="8">
      <x:c r="A8" t="str">
        <x:v>Tennis WTA</x:v>
      </x:c>
      <x:c r="B8" t="str">
        <x:v>https://github.com/JeffSackmann/tennis_wta</x:v>
      </x:c>
      <x:c r="C8" t="str">
        <x:v>Historique WTA</x:v>
      </x:c>
      <x:c r="D8" t="str">
        <x:v>Non, public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9.149999618530273" hidden="0" customWidth="1"/>
    <x:col min="2" max="2" width="10.899999618530273" hidden="0" customWidth="1"/>
    <x:col min="3" max="3" width="6.590000152587891" hidden="0" customWidth="1"/>
    <x:col min="4" max="4" width="4.980000019073486" hidden="0" customWidth="1"/>
    <x:col min="5" max="5" width="20.59000015258789" hidden="0" customWidth="1"/>
  </x:cols>
  <x:sheetData>
    <x:row r="1">
      <x:c r="A1" s="14" t="str">
        <x:v>Date</x:v>
      </x:c>
      <x:c r="B1" s="14" t="str">
        <x:v>Action</x:v>
      </x:c>
      <x:c r="C1" s="14" t="str">
        <x:v>Résultat</x:v>
      </x:c>
      <x:c r="D1" s="14" t="str">
        <x:v>Erreur</x:v>
      </x:c>
      <x:c r="E1" s="14" t="str">
        <x:v>À faire</x:v>
      </x:c>
      <x:c r="F1" s="27"/>
      <x:c r="G1" s="27"/>
      <x:c r="H1" s="27"/>
      <x:c r="I1" s="27"/>
      <x:c r="J1" s="27"/>
      <x:c r="K1" s="27"/>
      <x:c r="L1" s="27"/>
      <x:c r="M1" s="27"/>
      <x:c r="N1" s="27"/>
      <x:c r="O1" s="27"/>
    </x:row>
    <x:row r="2">
      <x:c r="A2" t="str">
        <x:v>2026-05-20</x:v>
      </x:c>
      <x:c r="B2" t="str">
        <x:v>Création pack</x:v>
      </x:c>
      <x:c r="C2" t="str">
        <x:v>OK</x:v>
      </x:c>
      <x:c r="D2" t="str"/>
      <x:c r="E2" t="str">
        <x:v>Ajouter clés API dans .env</x:v>
      </x:c>
    </x:row>
    <x:row r="3">
      <x:c r="A3" t="str">
        <x:v>2026-05-20</x:v>
      </x:c>
      <x:c r="B3" t="str">
        <x:v>Mode démo</x:v>
      </x:c>
      <x:c r="C3" t="str">
        <x:v>OK</x:v>
      </x:c>
      <x:c r="D3" t="str"/>
      <x:c r="E3" t="str">
        <x:v>Lancer update_data.bat</x:v>
      </x:c>
    </x:row>
    <x:row r="4">
      <x:c r="A4" t="str"/>
      <x:c r="B4" t="str"/>
      <x:c r="C4" t="str"/>
      <x:c r="D4" t="str"/>
      <x:c r="E4" t="str"/>
    </x:row>
    <x:row r="5">
      <x:c r="A5" t="str"/>
      <x:c r="B5" t="str"/>
      <x:c r="C5" t="str"/>
      <x:c r="D5" t="str"/>
      <x:c r="E5" t="str"/>
    </x:row>
  </x:sheetData>
  <x:pageMargins left="0.7" right="0.7" top="0.75" bottom="0.75" header="0.3" footer="0.3"/>
</x:worksheet>
</file>